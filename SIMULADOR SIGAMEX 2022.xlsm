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activeTab="3"/>
  </bookViews>
  <sheets>
    <sheet name="MENU" sheetId="1" r:id="rId1"/>
    <sheet name="EMPRESAS" sheetId="5" r:id="rId2"/>
    <sheet name="RAMAS" sheetId="6" r:id="rId3"/>
    <sheet name="MENSUAL" sheetId="4" r:id="rId4"/>
    <sheet name="ISR MENSUAL" sheetId="7" r:id="rId5"/>
    <sheet name="SIMULADORES" sheetId="2" r:id="rId6"/>
    <sheet name="TABLAS" sheetId="3" r:id="rId7"/>
    <sheet name="ISR QUINCENAL" sheetId="8" r:id="rId8"/>
    <sheet name="ISR SEMANAL" sheetId="9" r:id="rId9"/>
  </sheets>
  <functionGroups builtInGroupCount="18"/>
  <definedNames>
    <definedName name="isr_mensual">'ISR MENSUAL'!$D$11:$G$21</definedName>
    <definedName name="isr_quincenal">'ISR QUINCENAL'!$D$11:$G$21</definedName>
    <definedName name="isr_semanal">'ISR SEMANAL'!$D$11:$G$21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4" l="1"/>
  <c r="AF17" i="4"/>
  <c r="AF19" i="4"/>
  <c r="AF18" i="4"/>
</calcChain>
</file>

<file path=xl/sharedStrings.xml><?xml version="1.0" encoding="utf-8"?>
<sst xmlns="http://schemas.openxmlformats.org/spreadsheetml/2006/main" count="92" uniqueCount="70">
  <si>
    <t>MENU PRINCIPAL</t>
  </si>
  <si>
    <t>SIMULADORES</t>
  </si>
  <si>
    <t>TABLAS ISR</t>
  </si>
  <si>
    <t>TABLAS MENSUALES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</si>
  <si>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</si>
  <si>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</si>
  <si>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</si>
  <si>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</si>
  <si>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</si>
  <si>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</si>
  <si>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</si>
  <si>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</si>
  <si>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</si>
  <si>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</si>
  <si>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</si>
  <si>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</si>
  <si>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</si>
  <si>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</si>
  <si>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</si>
  <si>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</si>
  <si>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TRABAJADOR</t>
  </si>
  <si>
    <t>Sueldo MENSUAL</t>
  </si>
  <si>
    <t>Sueldo Mensual</t>
  </si>
  <si>
    <t>SUELDO DEL PERIODO</t>
  </si>
  <si>
    <t>Premio Puntualidad</t>
  </si>
  <si>
    <t>Premio Asistencia</t>
  </si>
  <si>
    <t>Vales Despensa</t>
  </si>
  <si>
    <t>Fondo de Ahorro</t>
  </si>
  <si>
    <t>Bono</t>
  </si>
  <si>
    <t>Bono por Eficiencia</t>
  </si>
  <si>
    <t>Ayuda Transporte</t>
  </si>
  <si>
    <t>Viáticos</t>
  </si>
  <si>
    <t>Promedio Hrs Extra al Mes (unidades)</t>
  </si>
  <si>
    <t>Horas Extra Dobles</t>
  </si>
  <si>
    <t>Horas Extra Triples</t>
  </si>
  <si>
    <t>Promedio Días Festivos (unidades)</t>
  </si>
  <si>
    <t>Promedio P. Dominical (unidades)</t>
  </si>
  <si>
    <t>Día Festivo</t>
  </si>
  <si>
    <t>Prima Dominical</t>
  </si>
  <si>
    <t>Total Ingresos NT</t>
  </si>
  <si>
    <t>FALTAS UNIDADES</t>
  </si>
  <si>
    <t>FALTAS IMPORTE</t>
  </si>
  <si>
    <t>PERMISOS SIN GOCE UNIDADES</t>
  </si>
  <si>
    <t>PERMISOS SIN GOCE IMPORTE</t>
  </si>
  <si>
    <t>INCAPACIDAD UNIDADES</t>
  </si>
  <si>
    <t>INCAPACIDAD IMPORTE</t>
  </si>
  <si>
    <t>RETARDO EN MINUTOS</t>
  </si>
  <si>
    <t>RETARDO EN IMPORTE</t>
  </si>
  <si>
    <t>OTROS DESCUENTOS</t>
  </si>
  <si>
    <t>Cuota Obrera IMSS</t>
  </si>
  <si>
    <t>ISR</t>
  </si>
  <si>
    <t>TOTAL DESCUENTOS</t>
  </si>
  <si>
    <t>TOTAL NETO</t>
  </si>
  <si>
    <t>Nombre:</t>
  </si>
  <si>
    <t>Riesgo:</t>
  </si>
  <si>
    <t>DATOS DE COMPAÑÍA</t>
  </si>
  <si>
    <t>PRESTACIONES</t>
  </si>
  <si>
    <t>AGUINALDO</t>
  </si>
  <si>
    <t>PRESTACIONES ADICIONALES</t>
  </si>
  <si>
    <t>Importe o %</t>
  </si>
  <si>
    <t>Cantidad</t>
  </si>
  <si>
    <t>Puntualidad</t>
  </si>
  <si>
    <t>Asistencia</t>
  </si>
  <si>
    <t>F. Ahorro</t>
  </si>
  <si>
    <t>Vales</t>
  </si>
  <si>
    <t>VACACIONES</t>
  </si>
  <si>
    <t>P. VACACIONAL</t>
  </si>
  <si>
    <t>No. Empleado</t>
  </si>
  <si>
    <t>Dato fijo</t>
  </si>
  <si>
    <t>Ingreso de dato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</si>
</sst>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dobe Devanagari"/>
      <family val="1"/>
    </font>
    <font>
      <sz val="48"/>
      <color theme="1"/>
      <name val="Futura"/>
      <family val="1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Futura"/>
      <family val="1"/>
    </font>
    <font>
      <sz val="12"/>
      <name val="Calibri"/>
      <family val="2"/>
      <scheme val="minor"/>
    </font>
    <font>
      <sz val="8"/>
      <name val="Trebuchet MS"/>
      <family val="2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6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0" fillId="0" borderId="0" xfId="0" applyFill="1"/>
    <xf numFmtId="0" fontId="5" fillId="2" borderId="0" xfId="0" applyFont="1" applyFill="1" applyAlignment="1">
      <alignment vertical="center"/>
    </xf>
    <xf numFmtId="4" fontId="8" fillId="2" borderId="1" xfId="0" applyNumberFormat="1" applyFont="1" applyFill="1" applyBorder="1" applyAlignment="1">
      <alignment horizontal="right" vertical="top" wrapText="1"/>
    </xf>
    <xf numFmtId="0" fontId="8" fillId="2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0" fontId="9" fillId="0" borderId="0" xfId="0" applyFont="1" applyFill="1" applyAlignment="1">
      <alignment vertical="center"/>
    </xf>
    <xf numFmtId="0" fontId="10" fillId="0" borderId="0" xfId="0" applyFont="1" applyFill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/>
    <xf numFmtId="0" fontId="6" fillId="0" borderId="0" xfId="0" applyFont="1" applyFill="1" applyAlignment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2" fillId="0" borderId="0" xfId="0" applyFont="1"/>
    <xf numFmtId="0" fontId="15" fillId="0" borderId="6" xfId="0" applyFont="1" applyBorder="1" applyAlignment="1">
      <alignment horizontal="center" vertical="center"/>
    </xf>
    <xf numFmtId="41" fontId="18" fillId="0" borderId="4" xfId="1" applyNumberFormat="1" applyFont="1" applyFill="1" applyBorder="1" applyAlignment="1" applyProtection="1">
      <alignment horizontal="center" vertical="center" wrapText="1"/>
    </xf>
    <xf numFmtId="41" fontId="18" fillId="0" borderId="4" xfId="1" applyNumberFormat="1" applyFont="1" applyFill="1" applyBorder="1" applyAlignment="1" applyProtection="1">
      <alignment horizontal="center" vertical="center"/>
    </xf>
    <xf numFmtId="1" fontId="19" fillId="0" borderId="4" xfId="0" applyNumberFormat="1" applyFont="1" applyFill="1" applyBorder="1" applyAlignment="1" applyProtection="1">
      <alignment horizontal="center" vertical="center" wrapText="1"/>
    </xf>
    <xf numFmtId="1" fontId="18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Font="1"/>
    <xf numFmtId="43" fontId="0" fillId="0" borderId="0" xfId="0" applyNumberFormat="1"/>
    <xf numFmtId="0" fontId="14" fillId="0" borderId="6" xfId="0" applyNumberFormat="1" applyFont="1" applyBorder="1" applyAlignment="1">
      <alignment horizontal="right"/>
    </xf>
    <xf numFmtId="43" fontId="12" fillId="8" borderId="4" xfId="1" applyFont="1" applyFill="1" applyBorder="1" applyAlignment="1" applyProtection="1"/>
    <xf numFmtId="0" fontId="0" fillId="8" borderId="0" xfId="0" applyFill="1"/>
    <xf numFmtId="0" fontId="14" fillId="0" borderId="6" xfId="0" applyNumberFormat="1" applyFont="1" applyFill="1" applyBorder="1" applyAlignment="1" applyProtection="1">
      <alignment horizontal="center" vertical="center"/>
    </xf>
    <xf numFmtId="9" fontId="14" fillId="0" borderId="6" xfId="0" applyNumberFormat="1" applyFont="1" applyFill="1" applyBorder="1" applyAlignment="1" applyProtection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0" fillId="9" borderId="0" xfId="0" applyFill="1"/>
    <xf numFmtId="41" fontId="11" fillId="9" borderId="4" xfId="1" applyNumberFormat="1" applyFont="1" applyFill="1" applyBorder="1" applyAlignment="1" applyProtection="1">
      <alignment horizontal="center"/>
    </xf>
    <xf numFmtId="0" fontId="12" fillId="9" borderId="5" xfId="0" applyFont="1" applyFill="1" applyBorder="1" applyAlignment="1" applyProtection="1">
      <protection locked="0"/>
    </xf>
    <xf numFmtId="44" fontId="12" fillId="9" borderId="5" xfId="2" applyFont="1" applyFill="1" applyBorder="1" applyAlignment="1" applyProtection="1">
      <protection locked="0"/>
    </xf>
    <xf numFmtId="43" fontId="12" fillId="9" borderId="4" xfId="1" applyFont="1" applyFill="1" applyBorder="1" applyAlignment="1" applyProtection="1">
      <alignment horizontal="left"/>
      <protection locked="0"/>
    </xf>
    <xf numFmtId="44" fontId="12" fillId="8" borderId="4" xfId="2" applyFont="1" applyFill="1" applyBorder="1" applyAlignment="1" applyProtection="1"/>
    <xf numFmtId="0" fontId="4" fillId="4" borderId="0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4" fillId="6" borderId="6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5" fillId="6" borderId="6" xfId="0" applyFont="1" applyFill="1" applyBorder="1" applyAlignment="1">
      <alignment horizontal="center"/>
    </xf>
    <xf numFmtId="1" fontId="17" fillId="0" borderId="6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 vertical="center" wrapText="1"/>
    </xf>
    <xf numFmtId="0" fontId="16" fillId="3" borderId="8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 wrapText="1"/>
    </xf>
    <xf numFmtId="0" fontId="16" fillId="3" borderId="10" xfId="0" applyFont="1" applyFill="1" applyBorder="1" applyAlignment="1">
      <alignment horizontal="center" vertical="center" wrapText="1"/>
    </xf>
    <xf numFmtId="0" fontId="16" fillId="3" borderId="9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top" wrapText="1"/>
    </xf>
    <xf numFmtId="0" fontId="5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43" fontId="12" fillId="9" borderId="4" xfId="1" applyFont="1" applyFill="1" applyBorder="1" applyAlignment="1" applyProtection="1"/>
    <xf numFmtId="43" fontId="12" fillId="10" borderId="4" xfId="1" applyFont="1" applyFill="1" applyBorder="1" applyAlignment="1" applyProtection="1"/>
    <xf numFmtId="43" fontId="12" fillId="10" borderId="4" xfId="3" applyNumberFormat="1" applyFont="1" applyFill="1" applyBorder="1" applyAlignment="1" applyProtection="1"/>
    <xf numFmtId="10" fontId="12" fillId="10" borderId="4" xfId="3" applyNumberFormat="1" applyFont="1" applyFill="1" applyBorder="1" applyAlignment="1" applyProtection="1"/>
    <xf numFmtId="44" fontId="12" fillId="10" borderId="4" xfId="2" applyFont="1" applyFill="1" applyBorder="1" applyAlignment="1" applyProtection="1">
      <protection locked="0"/>
    </xf>
    <xf numFmtId="44" fontId="12" fillId="10" borderId="4" xfId="2" applyFont="1" applyFill="1" applyBorder="1" applyAlignment="1" applyProtection="1"/>
    <xf numFmtId="0" fontId="20" fillId="0" borderId="0" xfId="0" applyFont="1"/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78CDD3"/>
      <color rgb="FF98D7C2"/>
      <color rgb="FF29A0B1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12</xdr:row>
          <xdr:rowOff>171450</xdr:rowOff>
        </xdr:from>
        <xdr:to>
          <xdr:col>5</xdr:col>
          <xdr:colOff>0</xdr:colOff>
          <xdr:row>17</xdr:row>
          <xdr:rowOff>19050</xdr:rowOff>
        </xdr:to>
        <xdr:sp macro="" textlink="">
          <xdr:nvSpPr>
            <xdr:cNvPr id="1025" name="simulador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12</xdr:row>
          <xdr:rowOff>180975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026" name="tabla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13</xdr:row>
          <xdr:rowOff>9525</xdr:rowOff>
        </xdr:from>
        <xdr:to>
          <xdr:col>13</xdr:col>
          <xdr:colOff>0</xdr:colOff>
          <xdr:row>17</xdr:row>
          <xdr:rowOff>47625</xdr:rowOff>
        </xdr:to>
        <xdr:sp macro="" textlink="">
          <xdr:nvSpPr>
            <xdr:cNvPr id="1027" name="empres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12</xdr:row>
          <xdr:rowOff>190500</xdr:rowOff>
        </xdr:from>
        <xdr:to>
          <xdr:col>17</xdr:col>
          <xdr:colOff>0</xdr:colOff>
          <xdr:row>17</xdr:row>
          <xdr:rowOff>38100</xdr:rowOff>
        </xdr:to>
        <xdr:sp macro="" textlink="">
          <xdr:nvSpPr>
            <xdr:cNvPr id="1028" name="ram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361950</xdr:colOff>
      <xdr:row>19</xdr:row>
      <xdr:rowOff>28575</xdr:rowOff>
    </xdr:from>
    <xdr:to>
      <xdr:col>10</xdr:col>
      <xdr:colOff>353965</xdr:colOff>
      <xdr:row>27</xdr:row>
      <xdr:rowOff>20590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3648075"/>
          <a:ext cx="1516015" cy="1516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0</xdr:rowOff>
    </xdr:from>
    <xdr:to>
      <xdr:col>1</xdr:col>
      <xdr:colOff>704849</xdr:colOff>
      <xdr:row>4</xdr:row>
      <xdr:rowOff>171449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2390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17</xdr:col>
      <xdr:colOff>676275</xdr:colOff>
      <xdr:row>0</xdr:row>
      <xdr:rowOff>114300</xdr:rowOff>
    </xdr:from>
    <xdr:to>
      <xdr:col>19</xdr:col>
      <xdr:colOff>115840</xdr:colOff>
      <xdr:row>5</xdr:row>
      <xdr:rowOff>125365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114300"/>
          <a:ext cx="963565" cy="9635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25220</xdr:colOff>
      <xdr:row>0</xdr:row>
      <xdr:rowOff>104774</xdr:rowOff>
    </xdr:from>
    <xdr:to>
      <xdr:col>13</xdr:col>
      <xdr:colOff>0</xdr:colOff>
      <xdr:row>4</xdr:row>
      <xdr:rowOff>76200</xdr:rowOff>
    </xdr:to>
    <xdr:pic macro="[0]!Imagen2_Haga_clic_en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2274370" y="10477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66674</xdr:rowOff>
    </xdr:from>
    <xdr:to>
      <xdr:col>3</xdr:col>
      <xdr:colOff>28574</xdr:colOff>
      <xdr:row>3</xdr:row>
      <xdr:rowOff>171450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3219450" y="257174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0</xdr:row>
      <xdr:rowOff>95250</xdr:rowOff>
    </xdr:from>
    <xdr:to>
      <xdr:col>3</xdr:col>
      <xdr:colOff>828675</xdr:colOff>
      <xdr:row>4</xdr:row>
      <xdr:rowOff>85725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95250"/>
          <a:ext cx="752475" cy="752475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0</xdr:row>
      <xdr:rowOff>85725</xdr:rowOff>
    </xdr:from>
    <xdr:to>
      <xdr:col>11</xdr:col>
      <xdr:colOff>819150</xdr:colOff>
      <xdr:row>4</xdr:row>
      <xdr:rowOff>66675</xdr:rowOff>
    </xdr:to>
    <xdr:pic macro="[0]!limpiar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9050" y="85725"/>
          <a:ext cx="742950" cy="742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733425</xdr:colOff>
      <xdr:row>0</xdr:row>
      <xdr:rowOff>142875</xdr:rowOff>
    </xdr:from>
    <xdr:to>
      <xdr:col>19</xdr:col>
      <xdr:colOff>123825</xdr:colOff>
      <xdr:row>5</xdr:row>
      <xdr:rowOff>104775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142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9525</xdr:rowOff>
    </xdr:from>
    <xdr:to>
      <xdr:col>1</xdr:col>
      <xdr:colOff>723899</xdr:colOff>
      <xdr:row>4</xdr:row>
      <xdr:rowOff>180974</xdr:rowOff>
    </xdr:to>
    <xdr:pic macro="[0]!regresarT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47625</xdr:rowOff>
        </xdr:from>
        <xdr:to>
          <xdr:col>6</xdr:col>
          <xdr:colOff>333375</xdr:colOff>
          <xdr:row>15</xdr:row>
          <xdr:rowOff>133350</xdr:rowOff>
        </xdr:to>
        <xdr:sp macro="" textlink="">
          <xdr:nvSpPr>
            <xdr:cNvPr id="2049" name="mensua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10</xdr:row>
          <xdr:rowOff>57150</xdr:rowOff>
        </xdr:from>
        <xdr:to>
          <xdr:col>16</xdr:col>
          <xdr:colOff>276225</xdr:colOff>
          <xdr:row>15</xdr:row>
          <xdr:rowOff>142875</xdr:rowOff>
        </xdr:to>
        <xdr:sp macro="" textlink="">
          <xdr:nvSpPr>
            <xdr:cNvPr id="2050" name="semana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66675</xdr:rowOff>
        </xdr:from>
        <xdr:to>
          <xdr:col>11</xdr:col>
          <xdr:colOff>428625</xdr:colOff>
          <xdr:row>15</xdr:row>
          <xdr:rowOff>152400</xdr:rowOff>
        </xdr:to>
        <xdr:sp macro="" textlink="">
          <xdr:nvSpPr>
            <xdr:cNvPr id="2051" name="quincenal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381000</xdr:colOff>
      <xdr:row>0</xdr:row>
      <xdr:rowOff>95250</xdr:rowOff>
    </xdr:from>
    <xdr:to>
      <xdr:col>18</xdr:col>
      <xdr:colOff>582565</xdr:colOff>
      <xdr:row>5</xdr:row>
      <xdr:rowOff>125365</xdr:rowOff>
    </xdr:to>
    <xdr:pic macro="[0]!Imagen4_Haga_clic_en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</xdr:row>
      <xdr:rowOff>0</xdr:rowOff>
    </xdr:from>
    <xdr:to>
      <xdr:col>1</xdr:col>
      <xdr:colOff>647699</xdr:colOff>
      <xdr:row>4</xdr:row>
      <xdr:rowOff>190499</xdr:rowOff>
    </xdr:to>
    <xdr:pic macro="[0]!Imagen4_Haga_clic_e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6675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10</xdr:row>
          <xdr:rowOff>133350</xdr:rowOff>
        </xdr:from>
        <xdr:to>
          <xdr:col>6</xdr:col>
          <xdr:colOff>428625</xdr:colOff>
          <xdr:row>16</xdr:row>
          <xdr:rowOff>28575</xdr:rowOff>
        </xdr:to>
        <xdr:sp macro="" textlink="">
          <xdr:nvSpPr>
            <xdr:cNvPr id="3076" name="mensualIS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10</xdr:row>
          <xdr:rowOff>123825</xdr:rowOff>
        </xdr:from>
        <xdr:to>
          <xdr:col>16</xdr:col>
          <xdr:colOff>190500</xdr:colOff>
          <xdr:row>16</xdr:row>
          <xdr:rowOff>19050</xdr:rowOff>
        </xdr:to>
        <xdr:sp macro="" textlink="">
          <xdr:nvSpPr>
            <xdr:cNvPr id="3077" name="semanalIS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10</xdr:row>
          <xdr:rowOff>123825</xdr:rowOff>
        </xdr:from>
        <xdr:to>
          <xdr:col>11</xdr:col>
          <xdr:colOff>304800</xdr:colOff>
          <xdr:row>16</xdr:row>
          <xdr:rowOff>19050</xdr:rowOff>
        </xdr:to>
        <xdr:sp macro="" textlink="">
          <xdr:nvSpPr>
            <xdr:cNvPr id="3078" name="quincenalISR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457200</xdr:colOff>
      <xdr:row>0</xdr:row>
      <xdr:rowOff>85725</xdr:rowOff>
    </xdr:from>
    <xdr:to>
      <xdr:col>18</xdr:col>
      <xdr:colOff>658765</xdr:colOff>
      <xdr:row>5</xdr:row>
      <xdr:rowOff>96790</xdr:rowOff>
    </xdr:to>
    <xdr:pic macro="[0]!Imagen4_Haga_clic_en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8572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742949</xdr:colOff>
      <xdr:row>4</xdr:row>
      <xdr:rowOff>171449</xdr:rowOff>
    </xdr:to>
    <xdr:pic macro="[0]!Imagen4_Haga_clic_en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6200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658765</xdr:colOff>
      <xdr:row>0</xdr:row>
      <xdr:rowOff>104775</xdr:rowOff>
    </xdr:from>
    <xdr:to>
      <xdr:col>19</xdr:col>
      <xdr:colOff>49165</xdr:colOff>
      <xdr:row>5</xdr:row>
      <xdr:rowOff>66675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2790" y="10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0</xdr:row>
      <xdr:rowOff>190499</xdr:rowOff>
    </xdr:from>
    <xdr:to>
      <xdr:col>1</xdr:col>
      <xdr:colOff>733424</xdr:colOff>
      <xdr:row>4</xdr:row>
      <xdr:rowOff>171448</xdr:rowOff>
    </xdr:to>
    <xdr:pic macro="[0]!regresarT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2475" y="190499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0</xdr:rowOff>
    </xdr:from>
    <xdr:to>
      <xdr:col>1</xdr:col>
      <xdr:colOff>723899</xdr:colOff>
      <xdr:row>4</xdr:row>
      <xdr:rowOff>171449</xdr:rowOff>
    </xdr:to>
    <xdr:pic macro="[0]!regresarT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190500"/>
          <a:ext cx="742949" cy="742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6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9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34"/>
  <sheetViews>
    <sheetView workbookViewId="0">
      <selection activeCell="C6" sqref="C6:Q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39" t="s">
        <v>0</v>
      </c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6:Q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ramas">
          <controlPr defaultSize="0" autoLine="0" autoPict="0" r:id="rId5">
            <anchor moveWithCells="1">
              <from>
                <xdr:col>13</xdr:col>
                <xdr:colOff>752475</xdr:colOff>
                <xdr:row>12</xdr:row>
                <xdr:rowOff>190500</xdr:rowOff>
              </from>
              <to>
                <xdr:col>17</xdr:col>
                <xdr:colOff>0</xdr:colOff>
                <xdr:row>17</xdr:row>
                <xdr:rowOff>38100</xdr:rowOff>
              </to>
            </anchor>
          </controlPr>
        </control>
      </mc:Choice>
      <mc:Fallback>
        <control shapeId="1028" r:id="rId4" name="ramas"/>
      </mc:Fallback>
    </mc:AlternateContent>
    <mc:AlternateContent xmlns:mc="http://schemas.openxmlformats.org/markup-compatibility/2006">
      <mc:Choice Requires="x14">
        <control shapeId="1027" r:id="rId6" name="empresas">
          <controlPr defaultSize="0" autoLine="0" r:id="rId7">
            <anchor moveWithCells="1">
              <from>
                <xdr:col>9</xdr:col>
                <xdr:colOff>752475</xdr:colOff>
                <xdr:row>13</xdr:row>
                <xdr:rowOff>9525</xdr:rowOff>
              </from>
              <to>
                <xdr:col>13</xdr:col>
                <xdr:colOff>0</xdr:colOff>
                <xdr:row>17</xdr:row>
                <xdr:rowOff>47625</xdr:rowOff>
              </to>
            </anchor>
          </controlPr>
        </control>
      </mc:Choice>
      <mc:Fallback>
        <control shapeId="1027" r:id="rId6" name="empresas"/>
      </mc:Fallback>
    </mc:AlternateContent>
    <mc:AlternateContent xmlns:mc="http://schemas.openxmlformats.org/markup-compatibility/2006">
      <mc:Choice Requires="x14">
        <control shapeId="1026" r:id="rId8" name="tablas">
          <controlPr defaultSize="0" autoLine="0" r:id="rId9">
            <anchor moveWithCells="1">
              <from>
                <xdr:col>5</xdr:col>
                <xdr:colOff>752475</xdr:colOff>
                <xdr:row>12</xdr:row>
                <xdr:rowOff>180975</xdr:rowOff>
              </from>
              <to>
                <xdr:col>9</xdr:col>
                <xdr:colOff>0</xdr:colOff>
                <xdr:row>17</xdr:row>
                <xdr:rowOff>28575</xdr:rowOff>
              </to>
            </anchor>
          </controlPr>
        </control>
      </mc:Choice>
      <mc:Fallback>
        <control shapeId="1026" r:id="rId8" name="tablas"/>
      </mc:Fallback>
    </mc:AlternateContent>
    <mc:AlternateContent xmlns:mc="http://schemas.openxmlformats.org/markup-compatibility/2006">
      <mc:Choice Requires="x14">
        <control shapeId="1025" r:id="rId10" name="simuladores">
          <controlPr defaultSize="0" autoLine="0" r:id="rId11">
            <anchor moveWithCells="1">
              <from>
                <xdr:col>1</xdr:col>
                <xdr:colOff>752475</xdr:colOff>
                <xdr:row>12</xdr:row>
                <xdr:rowOff>171450</xdr:rowOff>
              </from>
              <to>
                <xdr:col>5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25" r:id="rId10" name="simulador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40" t="s">
        <v>17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</row>
    <row r="3" spans="3:17" x14ac:dyDescent="0.25"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</row>
    <row r="4" spans="3:17" x14ac:dyDescent="0.25"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</row>
    <row r="5" spans="3:17" x14ac:dyDescent="0.25"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</row>
  </sheetData>
  <mergeCells count="1">
    <mergeCell ref="C2:Q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Q5"/>
  <sheetViews>
    <sheetView workbookViewId="0">
      <selection activeCell="C2" sqref="C2:Q5"/>
    </sheetView>
  </sheetViews>
  <sheetFormatPr baseColWidth="10" defaultRowHeight="15" x14ac:dyDescent="0.25"/>
  <sheetData>
    <row r="2" spans="3:17" x14ac:dyDescent="0.25">
      <c r="C2" s="40" t="s">
        <v>18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</row>
    <row r="3" spans="3:17" x14ac:dyDescent="0.25"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</row>
    <row r="4" spans="3:17" x14ac:dyDescent="0.25"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</row>
    <row r="5" spans="3:17" x14ac:dyDescent="0.25"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</row>
  </sheetData>
  <mergeCells count="1">
    <mergeCell ref="C2:Q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I26"/>
  <sheetViews>
    <sheetView tabSelected="1" workbookViewId="0">
      <selection activeCell="E11" sqref="E11"/>
    </sheetView>
  </sheetViews>
  <sheetFormatPr baseColWidth="10" defaultRowHeight="15" x14ac:dyDescent="0.25"/>
  <cols>
    <col min="1" max="1" width="10" customWidth="1"/>
    <col min="2" max="2" width="36.42578125" customWidth="1"/>
    <col min="3" max="3" width="12.5703125" customWidth="1"/>
    <col min="4" max="4" width="13" customWidth="1"/>
    <col min="5" max="5" width="14.28515625" customWidth="1"/>
    <col min="6" max="6" width="14.85546875" customWidth="1"/>
    <col min="7" max="7" width="13.7109375" customWidth="1"/>
    <col min="8" max="8" width="14.85546875" customWidth="1"/>
    <col min="9" max="9" width="14.140625" customWidth="1"/>
    <col min="10" max="10" width="14.7109375" customWidth="1"/>
    <col min="11" max="12" width="13.140625" customWidth="1"/>
    <col min="13" max="13" width="13.85546875" customWidth="1"/>
  </cols>
  <sheetData>
    <row r="1" spans="1:35" ht="15" customHeight="1" x14ac:dyDescent="0.25">
      <c r="B1" s="3"/>
      <c r="C1" s="14"/>
      <c r="D1" s="14"/>
      <c r="E1" s="14"/>
      <c r="F1" s="3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35" ht="15" customHeight="1" x14ac:dyDescent="0.25">
      <c r="B2" s="14"/>
      <c r="C2" s="14"/>
      <c r="D2" s="14"/>
      <c r="E2" s="45" t="s">
        <v>19</v>
      </c>
      <c r="F2" s="45"/>
      <c r="G2" s="45"/>
      <c r="H2" s="45"/>
      <c r="I2" s="45"/>
      <c r="J2" s="45"/>
      <c r="K2" s="45"/>
      <c r="L2" s="14"/>
      <c r="M2" s="14"/>
      <c r="N2" s="14"/>
      <c r="O2" s="14"/>
      <c r="P2" s="14"/>
      <c r="Q2" s="14"/>
    </row>
    <row r="3" spans="1:35" ht="15" customHeight="1" x14ac:dyDescent="0.25">
      <c r="B3" s="14"/>
      <c r="C3" s="14"/>
      <c r="D3" s="14"/>
      <c r="E3" s="45"/>
      <c r="F3" s="45"/>
      <c r="G3" s="45"/>
      <c r="H3" s="45"/>
      <c r="I3" s="45"/>
      <c r="J3" s="45"/>
      <c r="K3" s="45"/>
      <c r="L3" s="14"/>
      <c r="M3" s="14"/>
      <c r="N3" s="14"/>
      <c r="O3" s="14"/>
      <c r="P3" s="14"/>
      <c r="Q3" s="14"/>
    </row>
    <row r="4" spans="1:35" ht="15" customHeight="1" x14ac:dyDescent="0.25">
      <c r="C4" s="9"/>
      <c r="D4" s="9"/>
      <c r="E4" s="45"/>
      <c r="F4" s="45"/>
      <c r="G4" s="45"/>
      <c r="H4" s="45"/>
      <c r="I4" s="45"/>
      <c r="J4" s="45"/>
      <c r="K4" s="45"/>
      <c r="L4" s="9"/>
      <c r="M4" s="9"/>
      <c r="N4" s="9"/>
      <c r="O4" s="9"/>
      <c r="P4" s="9"/>
      <c r="Q4" s="9"/>
    </row>
    <row r="5" spans="1:35" ht="15.75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35" ht="15.75" x14ac:dyDescent="0.25">
      <c r="M6" s="13"/>
      <c r="N6" s="11"/>
      <c r="O6" s="11"/>
      <c r="P6" s="11"/>
      <c r="Q6" s="11"/>
    </row>
    <row r="7" spans="1:35" ht="15" customHeight="1" x14ac:dyDescent="0.25">
      <c r="A7" s="43" t="s">
        <v>55</v>
      </c>
      <c r="B7" s="43"/>
      <c r="C7" s="43"/>
      <c r="D7" s="12"/>
      <c r="F7" s="54" t="s">
        <v>56</v>
      </c>
      <c r="G7" s="54"/>
      <c r="H7" s="54"/>
      <c r="K7" s="46" t="s">
        <v>58</v>
      </c>
      <c r="L7" s="47"/>
      <c r="M7" s="50" t="s">
        <v>59</v>
      </c>
      <c r="N7" s="52" t="s">
        <v>60</v>
      </c>
    </row>
    <row r="8" spans="1:35" ht="15.75" customHeight="1" x14ac:dyDescent="0.25">
      <c r="A8" s="41" t="s">
        <v>53</v>
      </c>
      <c r="B8" s="42"/>
      <c r="C8" s="42"/>
      <c r="F8" s="55" t="s">
        <v>65</v>
      </c>
      <c r="G8" s="55"/>
      <c r="H8" s="30">
        <v>6</v>
      </c>
      <c r="K8" s="48"/>
      <c r="L8" s="49"/>
      <c r="M8" s="51"/>
      <c r="N8" s="53"/>
    </row>
    <row r="9" spans="1:35" x14ac:dyDescent="0.25">
      <c r="A9" s="41"/>
      <c r="B9" s="42"/>
      <c r="C9" s="42"/>
      <c r="F9" s="55" t="s">
        <v>66</v>
      </c>
      <c r="G9" s="55"/>
      <c r="H9" s="31">
        <v>0.25</v>
      </c>
      <c r="K9" s="15" t="s">
        <v>61</v>
      </c>
      <c r="L9" s="32"/>
      <c r="M9" s="17"/>
      <c r="N9" s="27"/>
    </row>
    <row r="10" spans="1:35" x14ac:dyDescent="0.25">
      <c r="A10" s="41" t="s">
        <v>54</v>
      </c>
      <c r="B10" s="44"/>
      <c r="C10" s="44"/>
      <c r="F10" s="55" t="s">
        <v>57</v>
      </c>
      <c r="G10" s="55"/>
      <c r="H10" s="30">
        <v>15</v>
      </c>
      <c r="K10" s="15" t="s">
        <v>62</v>
      </c>
      <c r="L10" s="20"/>
      <c r="M10" s="17"/>
      <c r="N10" s="27"/>
    </row>
    <row r="11" spans="1:35" x14ac:dyDescent="0.25">
      <c r="A11" s="41"/>
      <c r="B11" s="44"/>
      <c r="C11" s="44"/>
      <c r="E11" s="66"/>
      <c r="K11" s="15" t="s">
        <v>63</v>
      </c>
      <c r="L11" s="20"/>
      <c r="M11" s="18"/>
      <c r="N11" s="27"/>
    </row>
    <row r="12" spans="1:35" x14ac:dyDescent="0.25">
      <c r="F12" t="s">
        <v>68</v>
      </c>
      <c r="G12" s="29"/>
      <c r="K12" s="16" t="s">
        <v>64</v>
      </c>
      <c r="L12" s="20"/>
      <c r="M12" s="17"/>
      <c r="N12" s="27"/>
    </row>
    <row r="13" spans="1:35" x14ac:dyDescent="0.25">
      <c r="F13" t="s">
        <v>69</v>
      </c>
      <c r="G13" s="33"/>
      <c r="AI13" s="3"/>
    </row>
    <row r="14" spans="1:35" x14ac:dyDescent="0.25">
      <c r="A14" s="19" t="str">
        <f>IF(C17="","NO","SI")</f>
        <v>SI</v>
      </c>
    </row>
    <row r="15" spans="1:35" ht="45" x14ac:dyDescent="0.25">
      <c r="A15" s="21" t="s">
        <v>67</v>
      </c>
      <c r="B15" s="22" t="s">
        <v>20</v>
      </c>
      <c r="C15" s="21" t="s">
        <v>21</v>
      </c>
      <c r="D15" s="23" t="s">
        <v>22</v>
      </c>
      <c r="E15" s="24" t="s">
        <v>23</v>
      </c>
      <c r="F15" s="24" t="s">
        <v>24</v>
      </c>
      <c r="G15" s="24" t="s">
        <v>25</v>
      </c>
      <c r="H15" s="24" t="s">
        <v>26</v>
      </c>
      <c r="I15" s="24" t="s">
        <v>27</v>
      </c>
      <c r="J15" s="24" t="s">
        <v>28</v>
      </c>
      <c r="K15" s="24" t="s">
        <v>29</v>
      </c>
      <c r="L15" s="24" t="s">
        <v>30</v>
      </c>
      <c r="M15" s="24" t="s">
        <v>31</v>
      </c>
      <c r="N15" s="24" t="s">
        <v>32</v>
      </c>
      <c r="O15" s="24" t="s">
        <v>33</v>
      </c>
      <c r="P15" s="24" t="s">
        <v>34</v>
      </c>
      <c r="Q15" s="24" t="s">
        <v>35</v>
      </c>
      <c r="R15" s="24" t="s">
        <v>36</v>
      </c>
      <c r="S15" s="24" t="s">
        <v>37</v>
      </c>
      <c r="T15" s="24" t="s">
        <v>38</v>
      </c>
      <c r="U15" s="24" t="s">
        <v>39</v>
      </c>
      <c r="V15" s="24" t="s">
        <v>40</v>
      </c>
      <c r="W15" s="24" t="s">
        <v>41</v>
      </c>
      <c r="X15" s="24" t="s">
        <v>42</v>
      </c>
      <c r="Y15" s="24" t="s">
        <v>43</v>
      </c>
      <c r="Z15" s="24" t="s">
        <v>44</v>
      </c>
      <c r="AA15" s="24" t="s">
        <v>45</v>
      </c>
      <c r="AB15" s="24" t="s">
        <v>46</v>
      </c>
      <c r="AC15" s="24" t="s">
        <v>47</v>
      </c>
      <c r="AD15" s="24" t="s">
        <v>48</v>
      </c>
      <c r="AE15" s="24" t="s">
        <v>49</v>
      </c>
      <c r="AF15" s="24" t="s">
        <v>50</v>
      </c>
      <c r="AG15" s="24" t="s">
        <v>51</v>
      </c>
      <c r="AH15" s="24" t="s">
        <v>52</v>
      </c>
    </row>
    <row r="17" spans="1:34" ht="16.5" x14ac:dyDescent="0.35">
      <c r="A17" s="34"/>
      <c r="B17" s="35"/>
      <c r="C17" s="36">
        <v>10000</v>
      </c>
      <c r="D17" s="38"/>
      <c r="E17" s="28"/>
      <c r="F17" s="28"/>
      <c r="G17" s="28"/>
      <c r="H17" s="28"/>
      <c r="I17" s="28"/>
      <c r="J17" s="37"/>
      <c r="K17" s="37"/>
      <c r="L17" s="37"/>
      <c r="M17" s="37"/>
      <c r="N17" s="37"/>
      <c r="O17" s="28"/>
      <c r="P17" s="28"/>
      <c r="Q17" s="37"/>
      <c r="R17" s="37"/>
      <c r="S17" s="28"/>
      <c r="T17" s="28"/>
      <c r="U17" s="28"/>
      <c r="V17" s="60"/>
      <c r="W17" s="28"/>
      <c r="X17" s="60"/>
      <c r="Y17" s="28"/>
      <c r="Z17" s="60"/>
      <c r="AA17" s="61"/>
      <c r="AB17" s="60"/>
      <c r="AC17" s="61"/>
      <c r="AD17" s="64"/>
      <c r="AE17" s="61"/>
      <c r="AF17" s="28">
        <f>ISR(C17,isr_mensual,subsidio_mensual)</f>
        <v>833.75279999999998</v>
      </c>
      <c r="AG17" s="62"/>
      <c r="AH17" s="65"/>
    </row>
    <row r="18" spans="1:34" ht="16.5" x14ac:dyDescent="0.35">
      <c r="A18" s="34"/>
      <c r="B18" s="35"/>
      <c r="C18" s="36"/>
      <c r="D18" s="38"/>
      <c r="E18" s="28"/>
      <c r="F18" s="28"/>
      <c r="G18" s="28"/>
      <c r="H18" s="28"/>
      <c r="I18" s="28"/>
      <c r="J18" s="37"/>
      <c r="K18" s="37"/>
      <c r="L18" s="37"/>
      <c r="M18" s="37"/>
      <c r="N18" s="37"/>
      <c r="O18" s="28"/>
      <c r="P18" s="28"/>
      <c r="Q18" s="37"/>
      <c r="R18" s="37"/>
      <c r="S18" s="28"/>
      <c r="T18" s="28"/>
      <c r="U18" s="28"/>
      <c r="V18" s="60"/>
      <c r="W18" s="28"/>
      <c r="X18" s="60"/>
      <c r="Y18" s="28"/>
      <c r="Z18" s="60"/>
      <c r="AA18" s="61"/>
      <c r="AB18" s="60"/>
      <c r="AC18" s="61"/>
      <c r="AD18" s="64"/>
      <c r="AE18" s="61"/>
      <c r="AF18" s="28" t="str">
        <f>ISR(C18,isr_mensual,subsidio_mensual)</f>
        <v/>
      </c>
      <c r="AG18" s="62"/>
      <c r="AH18" s="65"/>
    </row>
    <row r="19" spans="1:34" ht="16.5" x14ac:dyDescent="0.35">
      <c r="A19" s="34"/>
      <c r="B19" s="35"/>
      <c r="C19" s="36"/>
      <c r="D19" s="38"/>
      <c r="E19" s="28"/>
      <c r="F19" s="28"/>
      <c r="G19" s="28"/>
      <c r="H19" s="28"/>
      <c r="I19" s="28"/>
      <c r="J19" s="37"/>
      <c r="K19" s="37"/>
      <c r="L19" s="37"/>
      <c r="M19" s="37"/>
      <c r="N19" s="37"/>
      <c r="O19" s="28"/>
      <c r="P19" s="28"/>
      <c r="Q19" s="37"/>
      <c r="R19" s="37"/>
      <c r="S19" s="28"/>
      <c r="T19" s="28"/>
      <c r="U19" s="28"/>
      <c r="V19" s="60"/>
      <c r="W19" s="28"/>
      <c r="X19" s="60"/>
      <c r="Y19" s="28"/>
      <c r="Z19" s="60"/>
      <c r="AA19" s="61"/>
      <c r="AB19" s="60"/>
      <c r="AC19" s="61"/>
      <c r="AD19" s="64"/>
      <c r="AE19" s="61"/>
      <c r="AF19" s="28" t="str">
        <f>ISR(C19,isr_mensual,subsidio_mensual)</f>
        <v/>
      </c>
      <c r="AG19" s="63"/>
      <c r="AH19" s="65"/>
    </row>
    <row r="21" spans="1:34" x14ac:dyDescent="0.25">
      <c r="AF21" s="26"/>
    </row>
    <row r="26" spans="1:34" x14ac:dyDescent="0.25">
      <c r="I26" s="25"/>
    </row>
  </sheetData>
  <mergeCells count="13">
    <mergeCell ref="F9:G9"/>
    <mergeCell ref="F10:G10"/>
    <mergeCell ref="E2:K4"/>
    <mergeCell ref="K7:L8"/>
    <mergeCell ref="M7:M8"/>
    <mergeCell ref="N7:N8"/>
    <mergeCell ref="F7:H7"/>
    <mergeCell ref="F8:G8"/>
    <mergeCell ref="A8:A9"/>
    <mergeCell ref="B8:C9"/>
    <mergeCell ref="A7:C7"/>
    <mergeCell ref="A10:A11"/>
    <mergeCell ref="B10:C1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57" t="s">
        <v>3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56" t="s">
        <v>4</v>
      </c>
      <c r="E9" s="56"/>
      <c r="F9" s="56"/>
      <c r="G9" s="56"/>
      <c r="H9" s="1"/>
      <c r="I9" s="1"/>
      <c r="J9" s="1"/>
      <c r="K9" s="1"/>
      <c r="L9" s="1"/>
      <c r="M9" s="56" t="s">
        <v>10</v>
      </c>
      <c r="N9" s="56"/>
      <c r="O9" s="56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644.58000000000004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1768.96</v>
      </c>
      <c r="O11" s="6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644.59</v>
      </c>
      <c r="E12" s="5">
        <v>5470.92</v>
      </c>
      <c r="F12" s="6">
        <v>12.38</v>
      </c>
      <c r="G12" s="6">
        <v>6.4</v>
      </c>
      <c r="H12" s="1"/>
      <c r="I12" s="1"/>
      <c r="J12" s="1"/>
      <c r="K12" s="1"/>
      <c r="L12" s="1"/>
      <c r="M12" s="5">
        <v>1768.97</v>
      </c>
      <c r="N12" s="5">
        <v>2653.38</v>
      </c>
      <c r="O12" s="6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5470.93</v>
      </c>
      <c r="E13" s="5">
        <v>9614.66</v>
      </c>
      <c r="F13" s="6">
        <v>321.26</v>
      </c>
      <c r="G13" s="6">
        <v>10.88</v>
      </c>
      <c r="H13" s="1"/>
      <c r="I13" s="1"/>
      <c r="J13" s="1"/>
      <c r="K13" s="1"/>
      <c r="L13" s="1"/>
      <c r="M13" s="5">
        <v>2653.39</v>
      </c>
      <c r="N13" s="5">
        <v>3472.84</v>
      </c>
      <c r="O13" s="6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9614.67</v>
      </c>
      <c r="E14" s="5">
        <v>11176.62</v>
      </c>
      <c r="F14" s="6">
        <v>772.1</v>
      </c>
      <c r="G14" s="6">
        <v>16</v>
      </c>
      <c r="H14" s="1"/>
      <c r="I14" s="1"/>
      <c r="J14" s="1"/>
      <c r="K14" s="1"/>
      <c r="L14" s="1"/>
      <c r="M14" s="5">
        <v>3472.85</v>
      </c>
      <c r="N14" s="5">
        <v>3537.87</v>
      </c>
      <c r="O14" s="6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11176.63</v>
      </c>
      <c r="E15" s="5">
        <v>13381.47</v>
      </c>
      <c r="F15" s="5">
        <v>1022.01</v>
      </c>
      <c r="G15" s="6">
        <v>17.920000000000002</v>
      </c>
      <c r="H15" s="1"/>
      <c r="I15" s="1"/>
      <c r="J15" s="1"/>
      <c r="K15" s="1"/>
      <c r="L15" s="1"/>
      <c r="M15" s="5">
        <v>3537.88</v>
      </c>
      <c r="N15" s="5">
        <v>4446.1499999999996</v>
      </c>
      <c r="O15" s="6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13381.48</v>
      </c>
      <c r="E16" s="5">
        <v>26988.5</v>
      </c>
      <c r="F16" s="5">
        <v>1417.12</v>
      </c>
      <c r="G16" s="6">
        <v>21.36</v>
      </c>
      <c r="H16" s="1"/>
      <c r="I16" s="1"/>
      <c r="J16" s="1"/>
      <c r="K16" s="1"/>
      <c r="L16" s="1"/>
      <c r="M16" s="5">
        <v>4446.16</v>
      </c>
      <c r="N16" s="5">
        <v>4717.18</v>
      </c>
      <c r="O16" s="6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26988.51</v>
      </c>
      <c r="E17" s="5">
        <v>42537.58</v>
      </c>
      <c r="F17" s="5">
        <v>4323.58</v>
      </c>
      <c r="G17" s="6">
        <v>23.52</v>
      </c>
      <c r="H17" s="1"/>
      <c r="I17" s="1"/>
      <c r="J17" s="1"/>
      <c r="K17" s="1"/>
      <c r="L17" s="1"/>
      <c r="M17" s="5">
        <v>4717.1899999999996</v>
      </c>
      <c r="N17" s="5">
        <v>5335.42</v>
      </c>
      <c r="O17" s="6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42537.59</v>
      </c>
      <c r="E18" s="5">
        <v>81211.25</v>
      </c>
      <c r="F18" s="5">
        <v>7980.73</v>
      </c>
      <c r="G18" s="6">
        <v>30</v>
      </c>
      <c r="H18" s="1"/>
      <c r="I18" s="1"/>
      <c r="J18" s="1"/>
      <c r="K18" s="1"/>
      <c r="L18" s="1"/>
      <c r="M18" s="5">
        <v>5335.43</v>
      </c>
      <c r="N18" s="5">
        <v>6224.67</v>
      </c>
      <c r="O18" s="6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81211.259999999995</v>
      </c>
      <c r="E19" s="5">
        <v>108281.67</v>
      </c>
      <c r="F19" s="5">
        <v>19582.830000000002</v>
      </c>
      <c r="G19" s="6">
        <v>32</v>
      </c>
      <c r="H19" s="1"/>
      <c r="I19" s="1"/>
      <c r="J19" s="1"/>
      <c r="K19" s="1"/>
      <c r="L19" s="1"/>
      <c r="M19" s="5">
        <v>6224.68</v>
      </c>
      <c r="N19" s="5">
        <v>7113.9</v>
      </c>
      <c r="O19" s="6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108281.68</v>
      </c>
      <c r="E20" s="5">
        <v>324845.01</v>
      </c>
      <c r="F20" s="5">
        <v>28245.360000000001</v>
      </c>
      <c r="G20" s="6">
        <v>34</v>
      </c>
      <c r="H20" s="1"/>
      <c r="I20" s="1"/>
      <c r="J20" s="1"/>
      <c r="K20" s="1"/>
      <c r="L20" s="1"/>
      <c r="M20" s="5">
        <v>7113.91</v>
      </c>
      <c r="N20" s="5">
        <v>7382.33</v>
      </c>
      <c r="O20" s="6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324845.02</v>
      </c>
      <c r="E21" s="6" t="s">
        <v>9</v>
      </c>
      <c r="F21" s="5">
        <v>101876.9</v>
      </c>
      <c r="G21" s="6">
        <v>35</v>
      </c>
      <c r="H21" s="1"/>
      <c r="I21" s="1"/>
      <c r="J21" s="1"/>
      <c r="K21" s="1"/>
      <c r="L21" s="1"/>
      <c r="M21" s="5">
        <v>7382.34</v>
      </c>
      <c r="N21" s="6" t="s">
        <v>9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"/>
      <c r="B2" s="1"/>
      <c r="C2" s="57" t="s">
        <v>1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"/>
      <c r="B3" s="1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1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1"/>
      <c r="S5" s="1"/>
      <c r="T5" s="1"/>
      <c r="U5" s="1"/>
      <c r="V5" s="1"/>
      <c r="W5" s="1"/>
      <c r="X5" s="1"/>
    </row>
    <row r="6" spans="1:24" ht="15" customHeight="1" x14ac:dyDescent="0.25">
      <c r="A6" s="1"/>
      <c r="B6" s="1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"/>
      <c r="R6" s="1"/>
      <c r="S6" s="1"/>
      <c r="T6" s="1"/>
      <c r="U6" s="1"/>
      <c r="V6" s="1"/>
      <c r="W6" s="1"/>
      <c r="X6" s="1"/>
    </row>
    <row r="7" spans="1:24" ht="15" customHeight="1" x14ac:dyDescent="0.25">
      <c r="A7" s="1"/>
      <c r="B7" s="1"/>
      <c r="C7" s="1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"/>
      <c r="R7" s="1"/>
      <c r="S7" s="1"/>
      <c r="T7" s="1"/>
      <c r="U7" s="1"/>
      <c r="V7" s="1"/>
      <c r="W7" s="1"/>
      <c r="X7" s="1"/>
    </row>
    <row r="8" spans="1:24" ht="15" customHeight="1" x14ac:dyDescent="0.25">
      <c r="A8" s="1"/>
      <c r="B8" s="1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1"/>
      <c r="R8" s="1"/>
      <c r="S8" s="1"/>
      <c r="T8" s="1"/>
      <c r="U8" s="1"/>
      <c r="V8" s="1"/>
      <c r="W8" s="1"/>
      <c r="X8" s="1"/>
    </row>
    <row r="9" spans="1:24" ht="15" customHeight="1" x14ac:dyDescent="0.25">
      <c r="A9" s="1"/>
      <c r="B9" s="1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1"/>
      <c r="R9" s="1"/>
      <c r="S9" s="1"/>
      <c r="T9" s="1"/>
      <c r="U9" s="1"/>
      <c r="V9" s="1"/>
      <c r="W9" s="1"/>
      <c r="X9" s="1"/>
    </row>
    <row r="10" spans="1:24" ht="15" customHeight="1" x14ac:dyDescent="0.25">
      <c r="A10" s="1"/>
      <c r="B10" s="1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quincenal">
          <controlPr defaultSize="0" autoLine="0" r:id="rId4">
            <anchor moveWithCells="1">
              <from>
                <xdr:col>7</xdr:col>
                <xdr:colOff>409575</xdr:colOff>
                <xdr:row>10</xdr:row>
                <xdr:rowOff>66675</xdr:rowOff>
              </from>
              <to>
                <xdr:col>11</xdr:col>
                <xdr:colOff>428625</xdr:colOff>
                <xdr:row>15</xdr:row>
                <xdr:rowOff>152400</xdr:rowOff>
              </to>
            </anchor>
          </controlPr>
        </control>
      </mc:Choice>
      <mc:Fallback>
        <control shapeId="2051" r:id="rId3" name="quincenal"/>
      </mc:Fallback>
    </mc:AlternateContent>
    <mc:AlternateContent xmlns:mc="http://schemas.openxmlformats.org/markup-compatibility/2006">
      <mc:Choice Requires="x14">
        <control shapeId="2050" r:id="rId5" name="semanal">
          <controlPr defaultSize="0" autoLine="0" r:id="rId6">
            <anchor moveWithCells="1">
              <from>
                <xdr:col>12</xdr:col>
                <xdr:colOff>257175</xdr:colOff>
                <xdr:row>10</xdr:row>
                <xdr:rowOff>57150</xdr:rowOff>
              </from>
              <to>
                <xdr:col>16</xdr:col>
                <xdr:colOff>276225</xdr:colOff>
                <xdr:row>15</xdr:row>
                <xdr:rowOff>142875</xdr:rowOff>
              </to>
            </anchor>
          </controlPr>
        </control>
      </mc:Choice>
      <mc:Fallback>
        <control shapeId="2050" r:id="rId5" name="semanal"/>
      </mc:Fallback>
    </mc:AlternateContent>
    <mc:AlternateContent xmlns:mc="http://schemas.openxmlformats.org/markup-compatibility/2006">
      <mc:Choice Requires="x14">
        <control shapeId="2049" r:id="rId7" name="mensual">
          <controlPr defaultSize="0" autoLine="0" r:id="rId8">
            <anchor moveWithCells="1">
              <from>
                <xdr:col>2</xdr:col>
                <xdr:colOff>314325</xdr:colOff>
                <xdr:row>10</xdr:row>
                <xdr:rowOff>47625</xdr:rowOff>
              </from>
              <to>
                <xdr:col>6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049" r:id="rId7" name="mensua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58" t="s">
        <v>2</v>
      </c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4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4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4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8" r:id="rId3" name="quincenalISR">
          <controlPr defaultSize="0" autoLine="0" r:id="rId4">
            <anchor moveWithCells="1">
              <from>
                <xdr:col>7</xdr:col>
                <xdr:colOff>285750</xdr:colOff>
                <xdr:row>10</xdr:row>
                <xdr:rowOff>123825</xdr:rowOff>
              </from>
              <to>
                <xdr:col>11</xdr:col>
                <xdr:colOff>304800</xdr:colOff>
                <xdr:row>16</xdr:row>
                <xdr:rowOff>19050</xdr:rowOff>
              </to>
            </anchor>
          </controlPr>
        </control>
      </mc:Choice>
      <mc:Fallback>
        <control shapeId="3078" r:id="rId3" name="quincenalISR"/>
      </mc:Fallback>
    </mc:AlternateContent>
    <mc:AlternateContent xmlns:mc="http://schemas.openxmlformats.org/markup-compatibility/2006">
      <mc:Choice Requires="x14">
        <control shapeId="3077" r:id="rId5" name="semanalISR">
          <controlPr defaultSize="0" autoLine="0" r:id="rId6">
            <anchor moveWithCells="1">
              <from>
                <xdr:col>12</xdr:col>
                <xdr:colOff>171450</xdr:colOff>
                <xdr:row>10</xdr:row>
                <xdr:rowOff>123825</xdr:rowOff>
              </from>
              <to>
                <xdr:col>16</xdr:col>
                <xdr:colOff>190500</xdr:colOff>
                <xdr:row>16</xdr:row>
                <xdr:rowOff>19050</xdr:rowOff>
              </to>
            </anchor>
          </controlPr>
        </control>
      </mc:Choice>
      <mc:Fallback>
        <control shapeId="3077" r:id="rId5" name="semanalISR"/>
      </mc:Fallback>
    </mc:AlternateContent>
    <mc:AlternateContent xmlns:mc="http://schemas.openxmlformats.org/markup-compatibility/2006">
      <mc:Choice Requires="x14">
        <control shapeId="3076" r:id="rId7" name="mensualISR">
          <controlPr defaultSize="0" autoLine="0" r:id="rId8">
            <anchor moveWithCells="1">
              <from>
                <xdr:col>2</xdr:col>
                <xdr:colOff>409575</xdr:colOff>
                <xdr:row>10</xdr:row>
                <xdr:rowOff>133350</xdr:rowOff>
              </from>
              <to>
                <xdr:col>6</xdr:col>
                <xdr:colOff>428625</xdr:colOff>
                <xdr:row>16</xdr:row>
                <xdr:rowOff>28575</xdr:rowOff>
              </to>
            </anchor>
          </controlPr>
        </control>
      </mc:Choice>
      <mc:Fallback>
        <control shapeId="3076" r:id="rId7" name="mensualIS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59" t="s">
        <v>15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56" t="s">
        <v>4</v>
      </c>
      <c r="E9" s="56"/>
      <c r="F9" s="56"/>
      <c r="G9" s="56"/>
      <c r="H9" s="1"/>
      <c r="I9" s="1"/>
      <c r="J9" s="1"/>
      <c r="K9" s="1"/>
      <c r="L9" s="1"/>
      <c r="M9" s="56" t="s">
        <v>10</v>
      </c>
      <c r="N9" s="56"/>
      <c r="O9" s="56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318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872.85</v>
      </c>
      <c r="O11" s="6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318.01</v>
      </c>
      <c r="E12" s="5">
        <v>2699.4</v>
      </c>
      <c r="F12" s="6">
        <v>6.15</v>
      </c>
      <c r="G12" s="6">
        <v>6.4</v>
      </c>
      <c r="H12" s="1"/>
      <c r="I12" s="1"/>
      <c r="J12" s="1"/>
      <c r="K12" s="1"/>
      <c r="L12" s="1"/>
      <c r="M12" s="5">
        <v>872.86</v>
      </c>
      <c r="N12" s="5">
        <v>1309.2</v>
      </c>
      <c r="O12" s="6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2699.41</v>
      </c>
      <c r="E13" s="5">
        <v>4744.05</v>
      </c>
      <c r="F13" s="6">
        <v>158.55000000000001</v>
      </c>
      <c r="G13" s="6">
        <v>10.88</v>
      </c>
      <c r="H13" s="1"/>
      <c r="I13" s="1"/>
      <c r="J13" s="1"/>
      <c r="K13" s="1"/>
      <c r="L13" s="1"/>
      <c r="M13" s="5">
        <v>1309.21</v>
      </c>
      <c r="N13" s="5">
        <v>1713.6</v>
      </c>
      <c r="O13" s="6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4744.0600000000004</v>
      </c>
      <c r="E14" s="5">
        <v>5514.75</v>
      </c>
      <c r="F14" s="6">
        <v>381</v>
      </c>
      <c r="G14" s="6">
        <v>16</v>
      </c>
      <c r="H14" s="1"/>
      <c r="I14" s="1"/>
      <c r="J14" s="1"/>
      <c r="K14" s="1"/>
      <c r="L14" s="1"/>
      <c r="M14" s="5">
        <v>1713.61</v>
      </c>
      <c r="N14" s="5">
        <v>1745.7</v>
      </c>
      <c r="O14" s="6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5514.76</v>
      </c>
      <c r="E15" s="5">
        <v>6602.7</v>
      </c>
      <c r="F15" s="5">
        <v>504.3</v>
      </c>
      <c r="G15" s="6">
        <v>17.920000000000002</v>
      </c>
      <c r="H15" s="1"/>
      <c r="I15" s="1"/>
      <c r="J15" s="1"/>
      <c r="K15" s="1"/>
      <c r="L15" s="1"/>
      <c r="M15" s="5">
        <v>1745.71</v>
      </c>
      <c r="N15" s="5">
        <v>2193.75</v>
      </c>
      <c r="O15" s="6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6602.71</v>
      </c>
      <c r="E16" s="5">
        <v>13316.7</v>
      </c>
      <c r="F16" s="5">
        <v>699.3</v>
      </c>
      <c r="G16" s="6">
        <v>21.36</v>
      </c>
      <c r="H16" s="1"/>
      <c r="I16" s="1"/>
      <c r="J16" s="1"/>
      <c r="K16" s="1"/>
      <c r="L16" s="1"/>
      <c r="M16" s="5">
        <v>2193.7600000000002</v>
      </c>
      <c r="N16" s="5">
        <v>2327.5500000000002</v>
      </c>
      <c r="O16" s="6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13316.71</v>
      </c>
      <c r="E17" s="5">
        <v>20988.9</v>
      </c>
      <c r="F17" s="5">
        <v>2133.3000000000002</v>
      </c>
      <c r="G17" s="6">
        <v>23.52</v>
      </c>
      <c r="H17" s="1"/>
      <c r="I17" s="1"/>
      <c r="J17" s="1"/>
      <c r="K17" s="1"/>
      <c r="L17" s="1"/>
      <c r="M17" s="5">
        <v>2327.56</v>
      </c>
      <c r="N17" s="5">
        <v>2632.65</v>
      </c>
      <c r="O17" s="6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20988.91</v>
      </c>
      <c r="E18" s="5">
        <v>40071.300000000003</v>
      </c>
      <c r="F18" s="5">
        <v>3937.8</v>
      </c>
      <c r="G18" s="6">
        <v>30</v>
      </c>
      <c r="H18" s="1"/>
      <c r="I18" s="1"/>
      <c r="J18" s="1"/>
      <c r="K18" s="1"/>
      <c r="L18" s="1"/>
      <c r="M18" s="5">
        <v>2632.66</v>
      </c>
      <c r="N18" s="5">
        <v>3071.4</v>
      </c>
      <c r="O18" s="6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40071.31</v>
      </c>
      <c r="E19" s="5">
        <v>53428.5</v>
      </c>
      <c r="F19" s="5">
        <v>9662.5499999999993</v>
      </c>
      <c r="G19" s="6">
        <v>32</v>
      </c>
      <c r="H19" s="1"/>
      <c r="I19" s="1"/>
      <c r="J19" s="1"/>
      <c r="K19" s="1"/>
      <c r="L19" s="1"/>
      <c r="M19" s="5">
        <v>3071.41</v>
      </c>
      <c r="N19" s="5">
        <v>3510.15</v>
      </c>
      <c r="O19" s="6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53428.51</v>
      </c>
      <c r="E20" s="5">
        <v>160285.35</v>
      </c>
      <c r="F20" s="5">
        <v>13936.8</v>
      </c>
      <c r="G20" s="6">
        <v>34</v>
      </c>
      <c r="H20" s="1"/>
      <c r="I20" s="1"/>
      <c r="J20" s="1"/>
      <c r="K20" s="1"/>
      <c r="L20" s="1"/>
      <c r="M20" s="5">
        <v>3510.16</v>
      </c>
      <c r="N20" s="5">
        <v>3641.6</v>
      </c>
      <c r="O20" s="6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160285.35999999999</v>
      </c>
      <c r="E21" s="6" t="s">
        <v>9</v>
      </c>
      <c r="F21" s="5">
        <v>50268.15</v>
      </c>
      <c r="G21" s="6">
        <v>35</v>
      </c>
      <c r="H21" s="1"/>
      <c r="I21" s="1"/>
      <c r="J21" s="1"/>
      <c r="K21" s="1"/>
      <c r="L21" s="1"/>
      <c r="M21" s="5">
        <v>3642.61</v>
      </c>
      <c r="N21" s="6" t="s">
        <v>9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40" t="s">
        <v>14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56" t="s">
        <v>4</v>
      </c>
      <c r="E9" s="56"/>
      <c r="F9" s="56"/>
      <c r="G9" s="56"/>
      <c r="H9" s="1"/>
      <c r="I9" s="1"/>
      <c r="J9" s="1"/>
      <c r="K9" s="1"/>
      <c r="L9" s="1"/>
      <c r="M9" s="56" t="s">
        <v>10</v>
      </c>
      <c r="N9" s="56"/>
      <c r="O9" s="56"/>
      <c r="P9" s="7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8" t="s">
        <v>5</v>
      </c>
      <c r="E10" s="8" t="s">
        <v>6</v>
      </c>
      <c r="F10" s="8" t="s">
        <v>7</v>
      </c>
      <c r="G10" s="8" t="s">
        <v>8</v>
      </c>
      <c r="H10" s="1"/>
      <c r="I10" s="1"/>
      <c r="J10" s="1"/>
      <c r="K10" s="1"/>
      <c r="L10" s="1"/>
      <c r="M10" s="8" t="s">
        <v>11</v>
      </c>
      <c r="N10" s="8" t="s">
        <v>12</v>
      </c>
      <c r="O10" s="8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6">
        <v>0.01</v>
      </c>
      <c r="E11" s="6">
        <v>148.4</v>
      </c>
      <c r="F11" s="6">
        <v>0</v>
      </c>
      <c r="G11" s="6">
        <v>1.92</v>
      </c>
      <c r="H11" s="1"/>
      <c r="I11" s="1"/>
      <c r="J11" s="1"/>
      <c r="K11" s="1"/>
      <c r="L11" s="1"/>
      <c r="M11" s="6">
        <v>0.01</v>
      </c>
      <c r="N11" s="5">
        <v>407.33</v>
      </c>
      <c r="O11" s="6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6">
        <v>148.41</v>
      </c>
      <c r="E12" s="5">
        <v>1259.72</v>
      </c>
      <c r="F12" s="6">
        <v>2.87</v>
      </c>
      <c r="G12" s="6">
        <v>6.4</v>
      </c>
      <c r="H12" s="1"/>
      <c r="I12" s="1"/>
      <c r="J12" s="1"/>
      <c r="K12" s="1"/>
      <c r="L12" s="1"/>
      <c r="M12" s="5">
        <v>407.34</v>
      </c>
      <c r="N12" s="5">
        <v>610.96</v>
      </c>
      <c r="O12" s="6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5">
        <v>1259.73</v>
      </c>
      <c r="E13" s="5">
        <v>2213.89</v>
      </c>
      <c r="F13" s="6">
        <v>73.989999999999995</v>
      </c>
      <c r="G13" s="6">
        <v>10.88</v>
      </c>
      <c r="H13" s="1"/>
      <c r="I13" s="1"/>
      <c r="J13" s="1"/>
      <c r="K13" s="1"/>
      <c r="L13" s="1"/>
      <c r="M13" s="5">
        <v>610.97</v>
      </c>
      <c r="N13" s="5">
        <v>799.68</v>
      </c>
      <c r="O13" s="6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5">
        <v>2213.9</v>
      </c>
      <c r="E14" s="5">
        <v>2573.5500000000002</v>
      </c>
      <c r="F14" s="6">
        <v>177.8</v>
      </c>
      <c r="G14" s="6">
        <v>16</v>
      </c>
      <c r="H14" s="1"/>
      <c r="I14" s="1"/>
      <c r="J14" s="1"/>
      <c r="K14" s="1"/>
      <c r="L14" s="1"/>
      <c r="M14" s="5">
        <v>799.69</v>
      </c>
      <c r="N14" s="5">
        <v>814.66</v>
      </c>
      <c r="O14" s="6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5">
        <v>2573.56</v>
      </c>
      <c r="E15" s="5">
        <v>3081.26</v>
      </c>
      <c r="F15" s="5">
        <v>235.34</v>
      </c>
      <c r="G15" s="6">
        <v>17.920000000000002</v>
      </c>
      <c r="H15" s="1"/>
      <c r="I15" s="1"/>
      <c r="J15" s="1"/>
      <c r="K15" s="1"/>
      <c r="L15" s="1"/>
      <c r="M15" s="5">
        <v>814.67</v>
      </c>
      <c r="N15" s="5">
        <v>1023.75</v>
      </c>
      <c r="O15" s="6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5">
        <v>3081.27</v>
      </c>
      <c r="E16" s="5">
        <v>6214.46</v>
      </c>
      <c r="F16" s="5">
        <v>326.33999999999997</v>
      </c>
      <c r="G16" s="6">
        <v>21.36</v>
      </c>
      <c r="H16" s="1"/>
      <c r="I16" s="1"/>
      <c r="J16" s="1"/>
      <c r="K16" s="1"/>
      <c r="L16" s="1"/>
      <c r="M16" s="5">
        <v>1023.76</v>
      </c>
      <c r="N16" s="5">
        <v>1086.19</v>
      </c>
      <c r="O16" s="6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5">
        <v>6214.47</v>
      </c>
      <c r="E17" s="5">
        <v>9794.82</v>
      </c>
      <c r="F17" s="5">
        <v>995.54</v>
      </c>
      <c r="G17" s="6">
        <v>23.52</v>
      </c>
      <c r="H17" s="1"/>
      <c r="I17" s="1"/>
      <c r="J17" s="1"/>
      <c r="K17" s="1"/>
      <c r="L17" s="1"/>
      <c r="M17" s="5">
        <v>1086.2</v>
      </c>
      <c r="N17" s="5">
        <v>1228.57</v>
      </c>
      <c r="O17" s="6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5">
        <v>9794.83</v>
      </c>
      <c r="E18" s="5">
        <v>18699.939999999999</v>
      </c>
      <c r="F18" s="5">
        <v>1837.64</v>
      </c>
      <c r="G18" s="6">
        <v>30</v>
      </c>
      <c r="H18" s="1"/>
      <c r="I18" s="1"/>
      <c r="J18" s="1"/>
      <c r="K18" s="1"/>
      <c r="L18" s="1"/>
      <c r="M18" s="5">
        <v>1228.58</v>
      </c>
      <c r="N18" s="5">
        <v>1433.32</v>
      </c>
      <c r="O18" s="6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5">
        <v>18699.95</v>
      </c>
      <c r="E19" s="5">
        <v>24933.3</v>
      </c>
      <c r="F19" s="5">
        <v>4509.1899999999996</v>
      </c>
      <c r="G19" s="6">
        <v>32</v>
      </c>
      <c r="H19" s="1"/>
      <c r="I19" s="1"/>
      <c r="J19" s="1"/>
      <c r="K19" s="1"/>
      <c r="L19" s="1"/>
      <c r="M19" s="5">
        <v>1433.33</v>
      </c>
      <c r="N19" s="5">
        <v>1638.07</v>
      </c>
      <c r="O19" s="6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5">
        <v>24933.31</v>
      </c>
      <c r="E20" s="5">
        <v>74799.83</v>
      </c>
      <c r="F20" s="5">
        <v>6503.84</v>
      </c>
      <c r="G20" s="6">
        <v>34</v>
      </c>
      <c r="H20" s="1"/>
      <c r="I20" s="1"/>
      <c r="J20" s="1"/>
      <c r="K20" s="1"/>
      <c r="L20" s="1"/>
      <c r="M20" s="5">
        <v>1638.08</v>
      </c>
      <c r="N20" s="5">
        <v>1699.88</v>
      </c>
      <c r="O20" s="6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5">
        <v>74799.839999999997</v>
      </c>
      <c r="E21" s="6" t="s">
        <v>9</v>
      </c>
      <c r="F21" s="5">
        <v>23458.47</v>
      </c>
      <c r="G21" s="6">
        <v>35</v>
      </c>
      <c r="H21" s="1"/>
      <c r="I21" s="1"/>
      <c r="J21" s="1"/>
      <c r="K21" s="1"/>
      <c r="L21" s="1"/>
      <c r="M21" s="5">
        <v>1699.89</v>
      </c>
      <c r="N21" s="6" t="s">
        <v>16</v>
      </c>
      <c r="O21" s="6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MENU</vt:lpstr>
      <vt:lpstr>EMPRESAS</vt:lpstr>
      <vt:lpstr>RAMAS</vt:lpstr>
      <vt:lpstr>MENSUAL</vt:lpstr>
      <vt:lpstr>ISR MENSUAL</vt:lpstr>
      <vt:lpstr>SIMULADORES</vt:lpstr>
      <vt:lpstr>TABLAS</vt:lpstr>
      <vt:lpstr>ISR QUINCENAL</vt:lpstr>
      <vt:lpstr>ISR SEMANAL</vt:lpstr>
      <vt:lpstr>isr_mensual</vt:lpstr>
      <vt:lpstr>isr_quincenal</vt:lpstr>
      <vt:lpstr>isr_semanal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2022-05-27T17:37:40Z</dcterms:modified>
</cp:coreProperties>
</file>