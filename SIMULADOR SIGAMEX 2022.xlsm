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tabRatio="780" activeTab="5"/>
  </bookViews>
  <sheets>
    <sheet name="MENU" sheetId="12" r:id="rId1"/>
    <sheet name="SIMULADORES" sheetId="2" r:id="rId2"/>
    <sheet name="CATALOGO" sheetId="11" r:id="rId3"/>
    <sheet name="EMPRESAS" sheetId="5" r:id="rId4"/>
    <sheet name="IMSS" sheetId="6" r:id="rId5"/>
    <sheet name="MENSUAL" sheetId="4" r:id="rId6"/>
    <sheet name="SALARIOS" sheetId="13" r:id="rId7"/>
    <sheet name="ISR MENSUAL" sheetId="7" r:id="rId8"/>
    <sheet name="TABLAS" sheetId="3" r:id="rId9"/>
    <sheet name="ISR QUINCENAL" sheetId="8" r:id="rId10"/>
    <sheet name="ISR SEMANAL" sheetId="9" r:id="rId11"/>
  </sheets>
  <functionGroups builtInGroupCount="18"/>
  <definedNames>
    <definedName name="empresas">EMPRESAS!$C$16:$H$998</definedName>
    <definedName name="isr_mensual">'ISR MENSUAL'!$D$11:$G$21</definedName>
    <definedName name="isr_quincenal">'ISR QUINCENAL'!$D$11:$G$21</definedName>
    <definedName name="isr_semanal">'ISR SEMANAL'!$D$11:$G$21</definedName>
    <definedName name="nombre_empresas">EMPRESAS!$C$16:$C$53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4" l="1"/>
  <c r="A14" i="4"/>
  <c r="G19" i="4"/>
  <c r="H19" i="4"/>
  <c r="AE11" i="6" l="1"/>
  <c r="AD11" i="6" l="1"/>
  <c r="H23" i="4" l="1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E20" i="4"/>
  <c r="G21" i="4"/>
  <c r="H21" i="4"/>
  <c r="E21" i="4"/>
  <c r="H20" i="4"/>
  <c r="G22" i="4"/>
  <c r="E22" i="4"/>
  <c r="F22" i="4"/>
  <c r="H22" i="4"/>
  <c r="F20" i="4"/>
  <c r="F21" i="4"/>
  <c r="Y40" i="4"/>
  <c r="Y35" i="4"/>
  <c r="Y47" i="4"/>
  <c r="Y38" i="4"/>
  <c r="Y26" i="4"/>
  <c r="Y43" i="4"/>
  <c r="Y31" i="4"/>
  <c r="Y18" i="4"/>
  <c r="Y27" i="4"/>
  <c r="Y21" i="4"/>
  <c r="Y46" i="4"/>
  <c r="Y32" i="4"/>
  <c r="Y50" i="4"/>
  <c r="Y22" i="4"/>
  <c r="Y39" i="4"/>
  <c r="Y44" i="4"/>
  <c r="Y29" i="4"/>
  <c r="Y25" i="4"/>
  <c r="Y34" i="4"/>
  <c r="Y24" i="4"/>
  <c r="Y45" i="4"/>
  <c r="Y20" i="4"/>
  <c r="Y37" i="4"/>
  <c r="Y23" i="4"/>
  <c r="Y28" i="4"/>
  <c r="Y49" i="4"/>
  <c r="Y42" i="4"/>
  <c r="Y30" i="4"/>
  <c r="Y17" i="4"/>
  <c r="Y48" i="4"/>
  <c r="Y19" i="4"/>
  <c r="Y41" i="4"/>
  <c r="Y36" i="4"/>
  <c r="Y33" i="4"/>
  <c r="E19" i="4"/>
  <c r="F19" i="4"/>
  <c r="AF19" i="4"/>
  <c r="AF18" i="4"/>
  <c r="U21" i="4" l="1"/>
  <c r="U22" i="4"/>
  <c r="U20" i="4"/>
  <c r="U19" i="4"/>
</calcChain>
</file>

<file path=xl/sharedStrings.xml><?xml version="1.0" encoding="utf-8"?>
<sst xmlns="http://schemas.openxmlformats.org/spreadsheetml/2006/main" count="200" uniqueCount="138">
  <si>
    <t>MENU PRINCIPAL</t>
  </si>
  <si>
    <t>TABLAS ISR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</si>
  <si>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</si>
  <si>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</si>
  <si>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</si>
  <si>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</si>
  <si>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</si>
  <si>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</si>
  <si>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</si>
  <si>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</si>
  <si>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</si>
  <si>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</si>
  <si>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</si>
  <si>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</si>
  <si>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</si>
  <si>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</si>
  <si>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</si>
  <si>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</si>
  <si>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Premio Puntualidad</t>
  </si>
  <si>
    <t>Premio Asistencia</t>
  </si>
  <si>
    <t>Vales Despensa</t>
  </si>
  <si>
    <t>Fondo de Ahorro</t>
  </si>
  <si>
    <t>Ayuda Transporte</t>
  </si>
  <si>
    <t>Viáticos</t>
  </si>
  <si>
    <t>Horas Extra Dobles</t>
  </si>
  <si>
    <t>Horas Extra Triples</t>
  </si>
  <si>
    <t>Nombre:</t>
  </si>
  <si>
    <t>Riesgo:</t>
  </si>
  <si>
    <t>DATOS DE COMPAÑÍA</t>
  </si>
  <si>
    <t>AGUINALDO</t>
  </si>
  <si>
    <t>PRESTACIONES ADICIONALES</t>
  </si>
  <si>
    <t>Importe o %</t>
  </si>
  <si>
    <t>Cantidad</t>
  </si>
  <si>
    <t>Puntualidad</t>
  </si>
  <si>
    <t>Asistencia</t>
  </si>
  <si>
    <t>Vales</t>
  </si>
  <si>
    <t>VACACIONES</t>
  </si>
  <si>
    <t>P. VACACIONAL</t>
  </si>
  <si>
    <t>Dato fijo</t>
  </si>
  <si>
    <t>Ingreso de dato</t>
  </si>
  <si>
    <t>Reserva de Finiquito</t>
  </si>
  <si>
    <t>Razon Social</t>
  </si>
  <si>
    <t>RFC</t>
  </si>
  <si>
    <t>Registro Patronal</t>
  </si>
  <si>
    <t>Prima de Riesgo</t>
  </si>
  <si>
    <t>Entidad Federativa</t>
  </si>
  <si>
    <t>Situaciones Ganadoras de Mexico, SA de CV</t>
  </si>
  <si>
    <t>SGM030312DE6</t>
  </si>
  <si>
    <t>D1553602106</t>
  </si>
  <si>
    <t>Morelos</t>
  </si>
  <si>
    <t>Grupo Interdisciplinario de Ingenieria y Servicios</t>
  </si>
  <si>
    <t>GII110330FM9</t>
  </si>
  <si>
    <t>C6213352100</t>
  </si>
  <si>
    <t>Estado de Mexico</t>
  </si>
  <si>
    <t>Faske Industrial, SA de CV</t>
  </si>
  <si>
    <t>FIN0504152B4</t>
  </si>
  <si>
    <t>C6762826108</t>
  </si>
  <si>
    <t>Faske Logistics SA de CV</t>
  </si>
  <si>
    <t>FLO160111686</t>
  </si>
  <si>
    <t>C6763202101</t>
  </si>
  <si>
    <t>Alimentos UB SAPI de CV</t>
  </si>
  <si>
    <t>AUB170117RP6</t>
  </si>
  <si>
    <t>Z2969463103</t>
  </si>
  <si>
    <t>Jalisco</t>
  </si>
  <si>
    <t>Altera Alimentos, SA de CV</t>
  </si>
  <si>
    <t>AAL181107GV8</t>
  </si>
  <si>
    <t>H6831374101</t>
  </si>
  <si>
    <t>0.50000</t>
  </si>
  <si>
    <t>4.65325</t>
  </si>
  <si>
    <t>0.113065</t>
  </si>
  <si>
    <t>Impuesto/Nómina</t>
  </si>
  <si>
    <t>Carga Patronal %</t>
  </si>
  <si>
    <t>No. Posiciones</t>
  </si>
  <si>
    <t>TOTAL NETO EMPLEADO</t>
  </si>
  <si>
    <t>TOTAL</t>
  </si>
  <si>
    <t>Carga Patronal $</t>
  </si>
  <si>
    <t>#</t>
  </si>
  <si>
    <t>Puesto</t>
  </si>
  <si>
    <t>Servicio</t>
  </si>
  <si>
    <t>Sueldo Bruto</t>
  </si>
  <si>
    <t>Bono/Comisiones</t>
  </si>
  <si>
    <t>Prima Dominical $</t>
  </si>
  <si>
    <t>Subtotal por Posiciones</t>
  </si>
  <si>
    <t xml:space="preserve">Periodo de pago </t>
  </si>
  <si>
    <t>Bono Puntualidad 10%</t>
  </si>
  <si>
    <t>Bono Asistencia 10%</t>
  </si>
  <si>
    <t>Total Ingreso</t>
  </si>
  <si>
    <t>Salario Diario</t>
  </si>
  <si>
    <t>Salario Diario Integrado (S.D.I. IMSS)</t>
  </si>
  <si>
    <t xml:space="preserve">Dias de Cotización </t>
  </si>
  <si>
    <t>Cuota Fija sobre 1 SMGDF</t>
  </si>
  <si>
    <t>Excedente de 3 SMG</t>
  </si>
  <si>
    <t xml:space="preserve">Prestaciones en Dinero </t>
  </si>
  <si>
    <t xml:space="preserve">Gastos Medicos Pensionados </t>
  </si>
  <si>
    <t>Invalidez y Vida</t>
  </si>
  <si>
    <t>Guarderias</t>
  </si>
  <si>
    <t>Riesgo de Trabajo                Clase I</t>
  </si>
  <si>
    <t>Retiro</t>
  </si>
  <si>
    <t>Cesantia y Vejez</t>
  </si>
  <si>
    <t>INFONAVIT</t>
  </si>
  <si>
    <t>ISN             (Estado de México)</t>
  </si>
  <si>
    <t xml:space="preserve">Total Carga Patronal - Obrero a pagar </t>
  </si>
  <si>
    <t xml:space="preserve">Patrón </t>
  </si>
  <si>
    <t>Trabajador</t>
  </si>
  <si>
    <t>TABLAS MENSUALES</t>
  </si>
  <si>
    <t>0,03</t>
  </si>
  <si>
    <t>CATALOGO</t>
  </si>
  <si>
    <t>PRESTACIONES DE LEY</t>
  </si>
  <si>
    <t>Hrs Extra (Unidades)</t>
  </si>
  <si>
    <t>Prima Dominucal (Unidades)</t>
  </si>
  <si>
    <t>NAVEGACIÓN</t>
  </si>
  <si>
    <t>SIMULADORES</t>
  </si>
  <si>
    <t>GENERALES</t>
  </si>
  <si>
    <t>Sirve para dirigirse a los diferentes simuladores.</t>
  </si>
  <si>
    <t>Sirve para dirigirse al catalogo de empresas y las tablas ISR para su edición. Solo se puede ingresar con la contraseña de administrador.</t>
  </si>
  <si>
    <t>Sirve para regresar a la vista anterior a la que se encuentra actualmente.</t>
  </si>
  <si>
    <t>Sirve para desplazarse al menú principal en cualquier parte de la aplicación donde se encuentre.</t>
  </si>
  <si>
    <t>Sirve para utilizar el simulador de cotización mensual.</t>
  </si>
  <si>
    <t>Sirve para utilizar el simulador de cotización quincenal.</t>
  </si>
  <si>
    <t>Sirve para utilizar el simulador de cotización catorcenal.</t>
  </si>
  <si>
    <t>Sirve para utilizar el simulador de cotización semanal.</t>
  </si>
  <si>
    <t>Sirve para utilizar el simulador para convertir salario neto a salario bruto.</t>
  </si>
  <si>
    <t>Sirve para editar la configuración que se está ocupando en el simulador escogido.</t>
  </si>
  <si>
    <t>Sirve para reiniciar el simulador con el cual se está trabajando, borrando los datos y la configuración previamente ingresada.</t>
  </si>
  <si>
    <t>Sirve para desplazarse a las cargas patronales y obreras para su visualización.</t>
  </si>
  <si>
    <t>Sirve para desplazarse a la vista de cotización donde los datos estarán libres para su edición y futuro envío al cliente</t>
  </si>
  <si>
    <t>Sirve para desplazarse las tablas de ISR quincenales.</t>
  </si>
  <si>
    <t>Sirve para desplazarse las tablas de ISR mensuales.</t>
  </si>
  <si>
    <t>Sirve para registrar una empresa nueva.</t>
  </si>
  <si>
    <t>Sirve para ingresar a la tabla con los datos de las empresas que maneja SIGAMEX.</t>
  </si>
  <si>
    <t>Sirve para desplazarse al menú de las tablas ISR.</t>
  </si>
  <si>
    <t>Sirve para desplazarse las tablas de ISR semanales.</t>
  </si>
  <si>
    <t>SALARIOS MÍNIMOS</t>
  </si>
  <si>
    <t>UMA</t>
  </si>
  <si>
    <t>B</t>
  </si>
  <si>
    <t>SI</t>
  </si>
  <si>
    <t>Importe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</si>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</sst>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u/>
      <sz val="11"/>
      <color theme="1"/>
      <name val="Calibri"/>
      <family val="2"/>
      <scheme val="minor"/>
    </font>
    <font>
      <sz val="9"/>
      <color theme="0"/>
      <name val="Trebuchet MS"/>
      <family val="2"/>
    </font>
    <font>
      <b/>
      <sz val="12"/>
      <color theme="1"/>
      <name val="Arial"/>
      <family val="2"/>
    </font>
    <font>
      <sz val="9"/>
      <color theme="1"/>
      <name val="Trebuchet MS"/>
      <family val="2"/>
    </font>
    <font>
      <sz val="10"/>
      <name val="Trebuchet MS"/>
      <family val="2"/>
    </font>
    <font>
      <sz val="10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1"/>
      <name val="Arial"/>
      <family val="2"/>
    </font>
    <font>
      <sz val="72"/>
      <color theme="0"/>
      <name val="Futura"/>
      <family val="1"/>
    </font>
    <font>
      <sz val="26"/>
      <color theme="1"/>
      <name val="Futura"/>
      <family val="1"/>
    </font>
    <font>
      <sz val="12"/>
      <color theme="1"/>
      <name val="Arial"/>
      <family val="2"/>
    </font>
    <font>
      <sz val="16"/>
      <color theme="1"/>
      <name val="Futura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69696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73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4" fontId="6" fillId="2" borderId="1" xfId="0" applyNumberFormat="1" applyFont="1" applyFill="1" applyBorder="1" applyAlignment="1">
      <alignment horizontal="right" vertical="top" wrapText="1"/>
    </xf>
    <xf numFmtId="0" fontId="6" fillId="2" borderId="1" xfId="0" applyFont="1" applyFill="1" applyBorder="1" applyAlignment="1">
      <alignment horizontal="right" vertical="top" wrapText="1"/>
    </xf>
    <xf numFmtId="0" fontId="5" fillId="2" borderId="0" xfId="0" applyFont="1" applyFill="1" applyAlignment="1">
      <alignment vertical="top" wrapText="1"/>
    </xf>
    <xf numFmtId="0" fontId="5" fillId="2" borderId="1" xfId="0" applyFont="1" applyFill="1" applyBorder="1" applyAlignment="1">
      <alignment horizontal="center" vertical="top" wrapText="1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41" fontId="14" fillId="0" borderId="4" xfId="1" applyNumberFormat="1" applyFont="1" applyFill="1" applyBorder="1" applyAlignment="1" applyProtection="1">
      <alignment horizontal="center" vertical="center" wrapText="1"/>
    </xf>
    <xf numFmtId="41" fontId="14" fillId="0" borderId="4" xfId="1" applyNumberFormat="1" applyFont="1" applyFill="1" applyBorder="1" applyAlignment="1" applyProtection="1">
      <alignment horizontal="center" vertical="center"/>
    </xf>
    <xf numFmtId="1" fontId="14" fillId="0" borderId="4" xfId="0" applyNumberFormat="1" applyFont="1" applyFill="1" applyBorder="1" applyAlignment="1" applyProtection="1">
      <alignment horizontal="center" vertical="center" wrapText="1"/>
    </xf>
    <xf numFmtId="0" fontId="10" fillId="0" borderId="5" xfId="0" applyNumberFormat="1" applyFont="1" applyFill="1" applyBorder="1" applyAlignment="1" applyProtection="1">
      <alignment horizontal="center" vertical="center"/>
    </xf>
    <xf numFmtId="9" fontId="10" fillId="0" borderId="5" xfId="0" applyNumberFormat="1" applyFont="1" applyFill="1" applyBorder="1" applyAlignment="1" applyProtection="1">
      <alignment horizontal="center" vertical="center"/>
    </xf>
    <xf numFmtId="0" fontId="11" fillId="0" borderId="5" xfId="0" applyNumberFormat="1" applyFont="1" applyBorder="1" applyAlignment="1">
      <alignment horizontal="center" vertical="center"/>
    </xf>
    <xf numFmtId="1" fontId="14" fillId="0" borderId="5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/>
    <xf numFmtId="0" fontId="0" fillId="9" borderId="5" xfId="0" applyFill="1" applyBorder="1"/>
    <xf numFmtId="0" fontId="0" fillId="8" borderId="5" xfId="0" applyFill="1" applyBorder="1" applyProtection="1"/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5" fillId="2" borderId="0" xfId="0" applyFont="1" applyFill="1"/>
    <xf numFmtId="9" fontId="0" fillId="2" borderId="0" xfId="0" applyNumberFormat="1" applyFill="1"/>
    <xf numFmtId="0" fontId="0" fillId="2" borderId="0" xfId="0" applyFill="1" applyBorder="1"/>
    <xf numFmtId="0" fontId="7" fillId="2" borderId="0" xfId="0" applyFont="1" applyFill="1" applyAlignment="1"/>
    <xf numFmtId="0" fontId="0" fillId="2" borderId="0" xfId="0" applyFont="1" applyFill="1" applyBorder="1"/>
    <xf numFmtId="1" fontId="14" fillId="2" borderId="0" xfId="0" applyNumberFormat="1" applyFont="1" applyFill="1" applyBorder="1" applyAlignment="1" applyProtection="1">
      <alignment horizontal="center" vertical="center" wrapText="1"/>
    </xf>
    <xf numFmtId="43" fontId="8" fillId="2" borderId="0" xfId="1" applyFont="1" applyFill="1" applyBorder="1" applyAlignment="1" applyProtection="1"/>
    <xf numFmtId="44" fontId="8" fillId="2" borderId="0" xfId="2" applyFont="1" applyFill="1" applyBorder="1" applyAlignment="1" applyProtection="1">
      <protection locked="0"/>
    </xf>
    <xf numFmtId="43" fontId="8" fillId="2" borderId="0" xfId="3" applyNumberFormat="1" applyFont="1" applyFill="1" applyBorder="1" applyAlignment="1" applyProtection="1"/>
    <xf numFmtId="44" fontId="8" fillId="2" borderId="0" xfId="2" applyFont="1" applyFill="1" applyBorder="1" applyAlignment="1" applyProtection="1"/>
    <xf numFmtId="10" fontId="8" fillId="2" borderId="0" xfId="3" applyNumberFormat="1" applyFont="1" applyFill="1" applyBorder="1" applyAlignment="1" applyProtection="1"/>
    <xf numFmtId="43" fontId="0" fillId="2" borderId="0" xfId="0" applyNumberFormat="1" applyFill="1" applyBorder="1"/>
    <xf numFmtId="43" fontId="16" fillId="2" borderId="7" xfId="1" applyFont="1" applyFill="1" applyBorder="1" applyAlignment="1" applyProtection="1"/>
    <xf numFmtId="0" fontId="0" fillId="0" borderId="0" xfId="0" applyFill="1"/>
    <xf numFmtId="0" fontId="10" fillId="0" borderId="5" xfId="0" applyFont="1" applyBorder="1"/>
    <xf numFmtId="0" fontId="3" fillId="0" borderId="0" xfId="0" applyFont="1" applyFill="1" applyAlignment="1">
      <alignment vertical="center"/>
    </xf>
    <xf numFmtId="0" fontId="10" fillId="0" borderId="1" xfId="0" applyFont="1" applyBorder="1"/>
    <xf numFmtId="43" fontId="18" fillId="2" borderId="7" xfId="1" applyFont="1" applyFill="1" applyBorder="1" applyAlignment="1" applyProtection="1"/>
    <xf numFmtId="41" fontId="19" fillId="9" borderId="1" xfId="1" applyNumberFormat="1" applyFont="1" applyFill="1" applyBorder="1" applyAlignment="1" applyProtection="1">
      <alignment horizontal="center"/>
      <protection locked="0"/>
    </xf>
    <xf numFmtId="0" fontId="19" fillId="9" borderId="1" xfId="0" applyFont="1" applyFill="1" applyBorder="1" applyAlignment="1" applyProtection="1">
      <protection locked="0"/>
    </xf>
    <xf numFmtId="44" fontId="19" fillId="9" borderId="1" xfId="2" applyNumberFormat="1" applyFont="1" applyFill="1" applyBorder="1" applyAlignment="1" applyProtection="1">
      <protection locked="0"/>
    </xf>
    <xf numFmtId="43" fontId="19" fillId="8" borderId="1" xfId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left"/>
    </xf>
    <xf numFmtId="44" fontId="19" fillId="8" borderId="1" xfId="1" applyNumberFormat="1" applyFont="1" applyFill="1" applyBorder="1" applyAlignment="1" applyProtection="1"/>
    <xf numFmtId="0" fontId="20" fillId="9" borderId="1" xfId="0" applyFont="1" applyFill="1" applyBorder="1" applyProtection="1">
      <protection locked="0"/>
    </xf>
    <xf numFmtId="0" fontId="20" fillId="8" borderId="1" xfId="0" applyFont="1" applyFill="1" applyBorder="1"/>
    <xf numFmtId="44" fontId="21" fillId="9" borderId="1" xfId="0" applyNumberFormat="1" applyFont="1" applyFill="1" applyBorder="1" applyProtection="1">
      <protection locked="0"/>
    </xf>
    <xf numFmtId="44" fontId="19" fillId="9" borderId="5" xfId="1" applyNumberFormat="1" applyFont="1" applyFill="1" applyBorder="1" applyAlignment="1" applyProtection="1">
      <alignment horizontal="left"/>
      <protection locked="0"/>
    </xf>
    <xf numFmtId="44" fontId="20" fillId="9" borderId="5" xfId="0" applyNumberFormat="1" applyFont="1" applyFill="1" applyBorder="1" applyProtection="1">
      <protection locked="0"/>
    </xf>
    <xf numFmtId="44" fontId="20" fillId="8" borderId="1" xfId="0" applyNumberFormat="1" applyFont="1" applyFill="1" applyBorder="1"/>
    <xf numFmtId="0" fontId="0" fillId="0" borderId="0" xfId="0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Border="1" applyAlignment="1">
      <alignment horizontal="right"/>
    </xf>
    <xf numFmtId="41" fontId="14" fillId="0" borderId="9" xfId="1" applyNumberFormat="1" applyFont="1" applyFill="1" applyBorder="1" applyAlignment="1" applyProtection="1">
      <alignment horizontal="center" vertical="center" wrapText="1"/>
    </xf>
    <xf numFmtId="0" fontId="20" fillId="9" borderId="10" xfId="0" applyFont="1" applyFill="1" applyBorder="1" applyProtection="1">
      <protection locked="0"/>
    </xf>
    <xf numFmtId="0" fontId="19" fillId="9" borderId="10" xfId="0" applyFont="1" applyFill="1" applyBorder="1" applyAlignment="1" applyProtection="1">
      <protection locked="0"/>
    </xf>
    <xf numFmtId="43" fontId="19" fillId="8" borderId="10" xfId="1" applyFont="1" applyFill="1" applyBorder="1" applyAlignment="1" applyProtection="1"/>
    <xf numFmtId="0" fontId="20" fillId="8" borderId="10" xfId="0" applyFont="1" applyFill="1" applyBorder="1"/>
    <xf numFmtId="0" fontId="10" fillId="0" borderId="10" xfId="0" applyFont="1" applyBorder="1" applyAlignment="1">
      <alignment horizontal="center"/>
    </xf>
    <xf numFmtId="44" fontId="19" fillId="8" borderId="10" xfId="1" applyNumberFormat="1" applyFont="1" applyFill="1" applyBorder="1" applyAlignment="1" applyProtection="1"/>
    <xf numFmtId="1" fontId="14" fillId="0" borderId="10" xfId="0" applyNumberFormat="1" applyFont="1" applyFill="1" applyBorder="1" applyAlignment="1" applyProtection="1">
      <alignment horizontal="center" vertical="center" wrapText="1"/>
    </xf>
    <xf numFmtId="44" fontId="19" fillId="2" borderId="0" xfId="1" applyNumberFormat="1" applyFont="1" applyFill="1" applyBorder="1" applyAlignment="1" applyProtection="1"/>
    <xf numFmtId="10" fontId="19" fillId="8" borderId="1" xfId="1" applyNumberFormat="1" applyFont="1" applyFill="1" applyBorder="1" applyAlignment="1" applyProtection="1">
      <alignment horizontal="left"/>
    </xf>
    <xf numFmtId="0" fontId="19" fillId="8" borderId="1" xfId="1" applyNumberFormat="1" applyFont="1" applyFill="1" applyBorder="1" applyAlignment="1" applyProtection="1">
      <alignment horizontal="center" vertical="center"/>
      <protection locked="0"/>
    </xf>
    <xf numFmtId="0" fontId="19" fillId="8" borderId="1" xfId="1" applyNumberFormat="1" applyFont="1" applyFill="1" applyBorder="1" applyAlignment="1" applyProtection="1">
      <alignment horizontal="center"/>
      <protection locked="0"/>
    </xf>
    <xf numFmtId="0" fontId="20" fillId="8" borderId="5" xfId="0" applyNumberFormat="1" applyFont="1" applyFill="1" applyBorder="1" applyAlignment="1" applyProtection="1">
      <alignment horizontal="center"/>
      <protection locked="0"/>
    </xf>
    <xf numFmtId="44" fontId="19" fillId="9" borderId="8" xfId="1" applyNumberFormat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center" vertical="center"/>
      <protection locked="0"/>
    </xf>
    <xf numFmtId="44" fontId="20" fillId="8" borderId="5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/>
    <xf numFmtId="0" fontId="10" fillId="2" borderId="0" xfId="0" applyNumberFormat="1" applyFont="1" applyFill="1" applyBorder="1" applyAlignment="1"/>
    <xf numFmtId="1" fontId="14" fillId="10" borderId="5" xfId="0" applyNumberFormat="1" applyFont="1" applyFill="1" applyBorder="1" applyAlignment="1" applyProtection="1">
      <alignment horizontal="center" vertical="center" wrapText="1"/>
    </xf>
    <xf numFmtId="0" fontId="11" fillId="0" borderId="10" xfId="0" applyFont="1" applyBorder="1" applyAlignment="1">
      <alignment horizontal="center" wrapText="1"/>
    </xf>
    <xf numFmtId="0" fontId="11" fillId="0" borderId="10" xfId="0" applyFont="1" applyBorder="1" applyAlignment="1">
      <alignment horizontal="center"/>
    </xf>
    <xf numFmtId="0" fontId="22" fillId="0" borderId="10" xfId="0" applyFont="1" applyBorder="1" applyAlignment="1">
      <alignment horizontal="center" wrapText="1"/>
    </xf>
    <xf numFmtId="0" fontId="11" fillId="2" borderId="10" xfId="0" applyFont="1" applyFill="1" applyBorder="1" applyAlignment="1">
      <alignment horizontal="center"/>
    </xf>
    <xf numFmtId="44" fontId="8" fillId="2" borderId="0" xfId="2" applyFont="1" applyFill="1" applyBorder="1" applyAlignment="1" applyProtection="1">
      <alignment horizontal="center"/>
      <protection locked="0"/>
    </xf>
    <xf numFmtId="2" fontId="11" fillId="2" borderId="10" xfId="0" applyNumberFormat="1" applyFont="1" applyFill="1" applyBorder="1" applyAlignment="1">
      <alignment horizontal="center"/>
    </xf>
    <xf numFmtId="2" fontId="10" fillId="0" borderId="5" xfId="0" applyNumberFormat="1" applyFont="1" applyBorder="1" applyAlignment="1">
      <alignment horizontal="right"/>
    </xf>
    <xf numFmtId="0" fontId="17" fillId="2" borderId="10" xfId="0" applyFont="1" applyFill="1" applyBorder="1"/>
    <xf numFmtId="0" fontId="10" fillId="2" borderId="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44" fontId="19" fillId="8" borderId="1" xfId="1" applyNumberFormat="1" applyFont="1" applyFill="1" applyBorder="1" applyAlignment="1" applyProtection="1">
      <protection locked="0"/>
    </xf>
    <xf numFmtId="44" fontId="19" fillId="8" borderId="5" xfId="1" applyNumberFormat="1" applyFont="1" applyFill="1" applyBorder="1" applyAlignment="1" applyProtection="1">
      <alignment horizontal="left"/>
      <protection locked="0"/>
    </xf>
    <xf numFmtId="44" fontId="19" fillId="8" borderId="5" xfId="1" applyNumberFormat="1" applyFont="1" applyFill="1" applyBorder="1" applyAlignment="1" applyProtection="1">
      <protection locked="0"/>
    </xf>
    <xf numFmtId="44" fontId="20" fillId="8" borderId="5" xfId="0" applyNumberFormat="1" applyFont="1" applyFill="1" applyBorder="1" applyProtection="1">
      <protection locked="0"/>
    </xf>
    <xf numFmtId="0" fontId="23" fillId="2" borderId="0" xfId="0" applyFont="1" applyFill="1" applyAlignment="1">
      <alignment vertical="center"/>
    </xf>
    <xf numFmtId="0" fontId="0" fillId="2" borderId="25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23" xfId="0" applyFill="1" applyBorder="1"/>
    <xf numFmtId="0" fontId="25" fillId="2" borderId="0" xfId="0" applyFont="1" applyFill="1" applyBorder="1" applyAlignment="1">
      <alignment vertical="center" wrapText="1"/>
    </xf>
    <xf numFmtId="0" fontId="0" fillId="2" borderId="27" xfId="0" applyFill="1" applyBorder="1"/>
    <xf numFmtId="0" fontId="0" fillId="2" borderId="0" xfId="0" applyFill="1" applyBorder="1" applyAlignment="1"/>
    <xf numFmtId="0" fontId="10" fillId="2" borderId="0" xfId="0" applyFont="1" applyFill="1" applyBorder="1" applyAlignment="1">
      <alignment vertical="center" wrapText="1"/>
    </xf>
    <xf numFmtId="0" fontId="10" fillId="2" borderId="24" xfId="0" applyFont="1" applyFill="1" applyBorder="1" applyAlignment="1">
      <alignment vertical="center" wrapText="1"/>
    </xf>
    <xf numFmtId="0" fontId="0" fillId="2" borderId="23" xfId="0" applyFill="1" applyBorder="1" applyAlignment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24" fillId="2" borderId="0" xfId="0" applyFont="1" applyFill="1" applyBorder="1" applyAlignment="1">
      <alignment vertical="center"/>
    </xf>
    <xf numFmtId="0" fontId="0" fillId="2" borderId="24" xfId="0" applyFill="1" applyBorder="1" applyAlignment="1"/>
    <xf numFmtId="0" fontId="0" fillId="2" borderId="28" xfId="0" applyFill="1" applyBorder="1"/>
    <xf numFmtId="0" fontId="17" fillId="7" borderId="6" xfId="0" applyFont="1" applyFill="1" applyBorder="1" applyAlignment="1">
      <alignment horizontal="center" vertical="center" wrapText="1"/>
    </xf>
    <xf numFmtId="0" fontId="17" fillId="7" borderId="6" xfId="0" applyFont="1" applyFill="1" applyBorder="1" applyAlignment="1">
      <alignment horizontal="center" vertical="center"/>
    </xf>
    <xf numFmtId="0" fontId="17" fillId="7" borderId="29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/>
    </xf>
    <xf numFmtId="0" fontId="0" fillId="0" borderId="5" xfId="0" applyBorder="1"/>
    <xf numFmtId="0" fontId="0" fillId="2" borderId="0" xfId="0" applyFill="1" applyBorder="1" applyAlignment="1">
      <alignment horizontal="center"/>
    </xf>
    <xf numFmtId="0" fontId="26" fillId="2" borderId="19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4" fillId="2" borderId="20" xfId="0" applyFont="1" applyFill="1" applyBorder="1" applyAlignment="1">
      <alignment horizontal="center" vertical="center"/>
    </xf>
    <xf numFmtId="0" fontId="24" fillId="2" borderId="21" xfId="0" applyFont="1" applyFill="1" applyBorder="1" applyAlignment="1">
      <alignment horizontal="center" vertical="center"/>
    </xf>
    <xf numFmtId="0" fontId="24" fillId="2" borderId="22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4" fillId="2" borderId="26" xfId="0" applyFont="1" applyFill="1" applyBorder="1" applyAlignment="1">
      <alignment horizontal="center" vertical="center"/>
    </xf>
    <xf numFmtId="0" fontId="24" fillId="2" borderId="27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/>
    </xf>
    <xf numFmtId="0" fontId="26" fillId="2" borderId="20" xfId="0" applyFont="1" applyFill="1" applyBorder="1" applyAlignment="1">
      <alignment horizontal="center" vertical="center"/>
    </xf>
    <xf numFmtId="0" fontId="26" fillId="2" borderId="21" xfId="0" applyFont="1" applyFill="1" applyBorder="1" applyAlignment="1">
      <alignment horizontal="center" vertical="center"/>
    </xf>
    <xf numFmtId="0" fontId="26" fillId="2" borderId="22" xfId="0" applyFont="1" applyFill="1" applyBorder="1" applyAlignment="1">
      <alignment horizontal="center" vertical="center"/>
    </xf>
    <xf numFmtId="0" fontId="26" fillId="2" borderId="25" xfId="0" applyFont="1" applyFill="1" applyBorder="1" applyAlignment="1">
      <alignment horizontal="center" vertical="center"/>
    </xf>
    <xf numFmtId="0" fontId="26" fillId="2" borderId="26" xfId="0" applyFont="1" applyFill="1" applyBorder="1" applyAlignment="1">
      <alignment horizontal="center" vertical="center"/>
    </xf>
    <xf numFmtId="0" fontId="26" fillId="2" borderId="27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22" fillId="0" borderId="10" xfId="0" applyFont="1" applyBorder="1" applyAlignment="1">
      <alignment horizontal="center" wrapText="1"/>
    </xf>
    <xf numFmtId="0" fontId="23" fillId="6" borderId="0" xfId="0" applyFont="1" applyFill="1" applyAlignment="1">
      <alignment horizontal="center" vertical="center"/>
    </xf>
    <xf numFmtId="0" fontId="10" fillId="0" borderId="10" xfId="0" applyFont="1" applyBorder="1" applyAlignment="1">
      <alignment horizontal="center" wrapText="1"/>
    </xf>
    <xf numFmtId="0" fontId="22" fillId="0" borderId="10" xfId="0" applyFont="1" applyBorder="1" applyAlignment="1">
      <alignment horizontal="center"/>
    </xf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23" fillId="5" borderId="0" xfId="0" applyFont="1" applyFill="1" applyAlignment="1">
      <alignment horizontal="center" vertic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2" fillId="3" borderId="10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0" fontId="10" fillId="6" borderId="15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64" fontId="13" fillId="0" borderId="13" xfId="0" applyNumberFormat="1" applyFont="1" applyBorder="1" applyAlignment="1">
      <alignment horizontal="center" vertical="center"/>
    </xf>
    <xf numFmtId="164" fontId="13" fillId="0" borderId="17" xfId="0" applyNumberFormat="1" applyFont="1" applyBorder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18" xfId="0" applyNumberFormat="1" applyFont="1" applyBorder="1" applyAlignment="1">
      <alignment horizontal="center" vertical="center"/>
    </xf>
    <xf numFmtId="164" fontId="13" fillId="0" borderId="3" xfId="0" applyNumberFormat="1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5" fillId="2" borderId="1" xfId="0" applyFont="1" applyFill="1" applyBorder="1" applyAlignment="1">
      <alignment horizontal="center" vertical="top" wrapText="1"/>
    </xf>
    <xf numFmtId="0" fontId="3" fillId="5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5"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78CDD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la 1" pivot="0" count="0"/>
  </tableStyles>
  <colors>
    <mruColors>
      <color rgb="FF696969"/>
      <color rgb="FF29A0B1"/>
      <color rgb="FFCCFFFF"/>
      <color rgb="FFCCFFCC"/>
      <color rgb="FFCCFF66"/>
      <color rgb="FF78CDD3"/>
      <color rgb="FF98D7C2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5.png"/><Relationship Id="rId5" Type="http://schemas.openxmlformats.org/officeDocument/2006/relationships/image" Target="../media/image26.png"/><Relationship Id="rId4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5.png"/><Relationship Id="rId1" Type="http://schemas.openxmlformats.org/officeDocument/2006/relationships/image" Target="../media/image31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5.png"/><Relationship Id="rId1" Type="http://schemas.openxmlformats.org/officeDocument/2006/relationships/image" Target="../media/image29.png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6</xdr:row>
      <xdr:rowOff>177997</xdr:rowOff>
    </xdr:from>
    <xdr:to>
      <xdr:col>8</xdr:col>
      <xdr:colOff>462495</xdr:colOff>
      <xdr:row>15</xdr:row>
      <xdr:rowOff>9525</xdr:rowOff>
    </xdr:to>
    <xdr:pic macro="[0]!simuladore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1320997"/>
          <a:ext cx="2748495" cy="1546028"/>
        </a:xfrm>
        <a:prstGeom prst="rect">
          <a:avLst/>
        </a:prstGeom>
      </xdr:spPr>
    </xdr:pic>
    <xdr:clientData/>
  </xdr:twoCellAnchor>
  <xdr:twoCellAnchor editAs="oneCell">
    <xdr:from>
      <xdr:col>12</xdr:col>
      <xdr:colOff>742950</xdr:colOff>
      <xdr:row>6</xdr:row>
      <xdr:rowOff>142875</xdr:rowOff>
    </xdr:from>
    <xdr:to>
      <xdr:col>16</xdr:col>
      <xdr:colOff>488950</xdr:colOff>
      <xdr:row>15</xdr:row>
      <xdr:rowOff>0</xdr:rowOff>
    </xdr:to>
    <xdr:pic macro="[0]!catalogo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285875"/>
          <a:ext cx="2794000" cy="1571625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323851</xdr:colOff>
      <xdr:row>23</xdr:row>
      <xdr:rowOff>38100</xdr:rowOff>
    </xdr:from>
    <xdr:to>
      <xdr:col>2</xdr:col>
      <xdr:colOff>457201</xdr:colOff>
      <xdr:row>25</xdr:row>
      <xdr:rowOff>160734</xdr:rowOff>
    </xdr:to>
    <xdr:pic macro="[0]!nada"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1" y="4419600"/>
          <a:ext cx="895350" cy="503634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27</xdr:row>
      <xdr:rowOff>152400</xdr:rowOff>
    </xdr:from>
    <xdr:to>
      <xdr:col>2</xdr:col>
      <xdr:colOff>457850</xdr:colOff>
      <xdr:row>30</xdr:row>
      <xdr:rowOff>84900</xdr:rowOff>
    </xdr:to>
    <xdr:pic macro="[0]!nada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5324475"/>
          <a:ext cx="896000" cy="504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31</xdr:row>
      <xdr:rowOff>114300</xdr:rowOff>
    </xdr:from>
    <xdr:to>
      <xdr:col>2</xdr:col>
      <xdr:colOff>409574</xdr:colOff>
      <xdr:row>35</xdr:row>
      <xdr:rowOff>85724</xdr:rowOff>
    </xdr:to>
    <xdr:pic macro="[0]!nada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90625" y="6086475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35</xdr:row>
      <xdr:rowOff>152400</xdr:rowOff>
    </xdr:from>
    <xdr:to>
      <xdr:col>2</xdr:col>
      <xdr:colOff>373015</xdr:colOff>
      <xdr:row>39</xdr:row>
      <xdr:rowOff>49164</xdr:rowOff>
    </xdr:to>
    <xdr:pic macro="[0]!nada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1" y="6924675"/>
          <a:ext cx="658764" cy="658764"/>
        </a:xfrm>
        <a:prstGeom prst="rect">
          <a:avLst/>
        </a:prstGeom>
      </xdr:spPr>
    </xdr:pic>
    <xdr:clientData/>
  </xdr:twoCellAnchor>
  <xdr:twoCellAnchor editAs="oneCell">
    <xdr:from>
      <xdr:col>8</xdr:col>
      <xdr:colOff>333375</xdr:colOff>
      <xdr:row>23</xdr:row>
      <xdr:rowOff>47627</xdr:rowOff>
    </xdr:from>
    <xdr:to>
      <xdr:col>9</xdr:col>
      <xdr:colOff>466725</xdr:colOff>
      <xdr:row>25</xdr:row>
      <xdr:rowOff>159727</xdr:rowOff>
    </xdr:to>
    <xdr:pic macro="[0]!nada"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1375" y="4467227"/>
          <a:ext cx="895350" cy="493100"/>
        </a:xfrm>
        <a:prstGeom prst="rect">
          <a:avLst/>
        </a:prstGeom>
      </xdr:spPr>
    </xdr:pic>
    <xdr:clientData/>
  </xdr:twoCellAnchor>
  <xdr:twoCellAnchor editAs="oneCell">
    <xdr:from>
      <xdr:col>8</xdr:col>
      <xdr:colOff>342901</xdr:colOff>
      <xdr:row>27</xdr:row>
      <xdr:rowOff>28575</xdr:rowOff>
    </xdr:from>
    <xdr:to>
      <xdr:col>9</xdr:col>
      <xdr:colOff>485775</xdr:colOff>
      <xdr:row>29</xdr:row>
      <xdr:rowOff>161925</xdr:rowOff>
    </xdr:to>
    <xdr:pic macro="[0]!nada"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1" y="5210175"/>
          <a:ext cx="904874" cy="51435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352426</xdr:colOff>
      <xdr:row>31</xdr:row>
      <xdr:rowOff>66675</xdr:rowOff>
    </xdr:from>
    <xdr:to>
      <xdr:col>9</xdr:col>
      <xdr:colOff>504826</xdr:colOff>
      <xdr:row>33</xdr:row>
      <xdr:rowOff>161925</xdr:rowOff>
    </xdr:to>
    <xdr:pic macro="[0]!nada"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6" y="6010275"/>
          <a:ext cx="914400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35</xdr:row>
      <xdr:rowOff>47625</xdr:rowOff>
    </xdr:from>
    <xdr:to>
      <xdr:col>9</xdr:col>
      <xdr:colOff>495300</xdr:colOff>
      <xdr:row>37</xdr:row>
      <xdr:rowOff>152400</xdr:rowOff>
    </xdr:to>
    <xdr:pic macro="[0]!nada"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6762750"/>
          <a:ext cx="904875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381000</xdr:colOff>
      <xdr:row>39</xdr:row>
      <xdr:rowOff>47625</xdr:rowOff>
    </xdr:from>
    <xdr:to>
      <xdr:col>9</xdr:col>
      <xdr:colOff>523875</xdr:colOff>
      <xdr:row>41</xdr:row>
      <xdr:rowOff>152400</xdr:rowOff>
    </xdr:to>
    <xdr:pic macro="[0]!nada"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7524750"/>
          <a:ext cx="904875" cy="495300"/>
        </a:xfrm>
        <a:prstGeom prst="rect">
          <a:avLst/>
        </a:prstGeom>
      </xdr:spPr>
    </xdr:pic>
    <xdr:clientData/>
  </xdr:twoCellAnchor>
  <xdr:oneCellAnchor>
    <xdr:from>
      <xdr:col>8</xdr:col>
      <xdr:colOff>609600</xdr:colOff>
      <xdr:row>51</xdr:row>
      <xdr:rowOff>79091</xdr:rowOff>
    </xdr:from>
    <xdr:ext cx="409575" cy="511459"/>
    <xdr:pic macro="[0]!nada"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0" y="9851741"/>
          <a:ext cx="409575" cy="511459"/>
        </a:xfrm>
        <a:prstGeom prst="rect">
          <a:avLst/>
        </a:prstGeom>
      </xdr:spPr>
    </xdr:pic>
    <xdr:clientData/>
  </xdr:oneCellAnchor>
  <xdr:twoCellAnchor editAs="oneCell">
    <xdr:from>
      <xdr:col>8</xdr:col>
      <xdr:colOff>533400</xdr:colOff>
      <xdr:row>43</xdr:row>
      <xdr:rowOff>57149</xdr:rowOff>
    </xdr:from>
    <xdr:to>
      <xdr:col>9</xdr:col>
      <xdr:colOff>276225</xdr:colOff>
      <xdr:row>45</xdr:row>
      <xdr:rowOff>180974</xdr:rowOff>
    </xdr:to>
    <xdr:pic macro="[0]!nada">
      <xdr:nvPicPr>
        <xdr:cNvPr id="32" name="Imagen 31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8305799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571501</xdr:colOff>
      <xdr:row>47</xdr:row>
      <xdr:rowOff>56540</xdr:rowOff>
    </xdr:from>
    <xdr:to>
      <xdr:col>9</xdr:col>
      <xdr:colOff>257175</xdr:colOff>
      <xdr:row>49</xdr:row>
      <xdr:rowOff>123214</xdr:rowOff>
    </xdr:to>
    <xdr:pic macro="[0]!nada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1" y="9067190"/>
          <a:ext cx="447674" cy="447674"/>
        </a:xfrm>
        <a:prstGeom prst="rect">
          <a:avLst/>
        </a:prstGeom>
      </xdr:spPr>
    </xdr:pic>
    <xdr:clientData/>
  </xdr:twoCellAnchor>
  <xdr:twoCellAnchor editAs="oneCell">
    <xdr:from>
      <xdr:col>8</xdr:col>
      <xdr:colOff>581025</xdr:colOff>
      <xdr:row>55</xdr:row>
      <xdr:rowOff>87446</xdr:rowOff>
    </xdr:from>
    <xdr:to>
      <xdr:col>9</xdr:col>
      <xdr:colOff>255454</xdr:colOff>
      <xdr:row>57</xdr:row>
      <xdr:rowOff>142875</xdr:rowOff>
    </xdr:to>
    <xdr:pic macro="[0]!nada">
      <xdr:nvPicPr>
        <xdr:cNvPr id="33" name="Imagen 32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025" y="10622096"/>
          <a:ext cx="436429" cy="436429"/>
        </a:xfrm>
        <a:prstGeom prst="rect">
          <a:avLst/>
        </a:prstGeom>
      </xdr:spPr>
    </xdr:pic>
    <xdr:clientData/>
  </xdr:twoCellAnchor>
  <xdr:twoCellAnchor editAs="oneCell">
    <xdr:from>
      <xdr:col>15</xdr:col>
      <xdr:colOff>352425</xdr:colOff>
      <xdr:row>22</xdr:row>
      <xdr:rowOff>167878</xdr:rowOff>
    </xdr:from>
    <xdr:to>
      <xdr:col>16</xdr:col>
      <xdr:colOff>494242</xdr:colOff>
      <xdr:row>25</xdr:row>
      <xdr:rowOff>104775</xdr:rowOff>
    </xdr:to>
    <xdr:pic macro="[0]!nada">
      <xdr:nvPicPr>
        <xdr:cNvPr id="44" name="Imagen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4396978"/>
          <a:ext cx="903817" cy="508397"/>
        </a:xfrm>
        <a:prstGeom prst="rect">
          <a:avLst/>
        </a:prstGeom>
      </xdr:spPr>
    </xdr:pic>
    <xdr:clientData/>
  </xdr:twoCellAnchor>
  <xdr:twoCellAnchor editAs="oneCell">
    <xdr:from>
      <xdr:col>15</xdr:col>
      <xdr:colOff>361951</xdr:colOff>
      <xdr:row>27</xdr:row>
      <xdr:rowOff>14883</xdr:rowOff>
    </xdr:from>
    <xdr:to>
      <xdr:col>16</xdr:col>
      <xdr:colOff>514350</xdr:colOff>
      <xdr:row>29</xdr:row>
      <xdr:rowOff>171451</xdr:rowOff>
    </xdr:to>
    <xdr:pic macro="[0]!nada">
      <xdr:nvPicPr>
        <xdr:cNvPr id="45" name="Imagen 44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951" y="5196483"/>
          <a:ext cx="914399" cy="537568"/>
        </a:xfrm>
        <a:prstGeom prst="rect">
          <a:avLst/>
        </a:prstGeom>
      </xdr:spPr>
    </xdr:pic>
    <xdr:clientData/>
  </xdr:twoCellAnchor>
  <xdr:twoCellAnchor editAs="oneCell">
    <xdr:from>
      <xdr:col>15</xdr:col>
      <xdr:colOff>638175</xdr:colOff>
      <xdr:row>31</xdr:row>
      <xdr:rowOff>47013</xdr:rowOff>
    </xdr:from>
    <xdr:to>
      <xdr:col>16</xdr:col>
      <xdr:colOff>381000</xdr:colOff>
      <xdr:row>33</xdr:row>
      <xdr:rowOff>161313</xdr:rowOff>
    </xdr:to>
    <xdr:pic macro="[0]!nada">
      <xdr:nvPicPr>
        <xdr:cNvPr id="46" name="Imagen 45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5" y="5990613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15</xdr:col>
      <xdr:colOff>400050</xdr:colOff>
      <xdr:row>34</xdr:row>
      <xdr:rowOff>178594</xdr:rowOff>
    </xdr:from>
    <xdr:to>
      <xdr:col>16</xdr:col>
      <xdr:colOff>552449</xdr:colOff>
      <xdr:row>37</xdr:row>
      <xdr:rowOff>142875</xdr:rowOff>
    </xdr:to>
    <xdr:pic macro="[0]!nada">
      <xdr:nvPicPr>
        <xdr:cNvPr id="50" name="Imagen 49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0050" y="6703219"/>
          <a:ext cx="914399" cy="535781"/>
        </a:xfrm>
        <a:prstGeom prst="rect">
          <a:avLst/>
        </a:prstGeom>
      </xdr:spPr>
    </xdr:pic>
    <xdr:clientData/>
  </xdr:twoCellAnchor>
  <xdr:twoCellAnchor editAs="oneCell">
    <xdr:from>
      <xdr:col>15</xdr:col>
      <xdr:colOff>409575</xdr:colOff>
      <xdr:row>39</xdr:row>
      <xdr:rowOff>38100</xdr:rowOff>
    </xdr:from>
    <xdr:to>
      <xdr:col>16</xdr:col>
      <xdr:colOff>578909</xdr:colOff>
      <xdr:row>41</xdr:row>
      <xdr:rowOff>171450</xdr:rowOff>
    </xdr:to>
    <xdr:pic macro="[0]!nada">
      <xdr:nvPicPr>
        <xdr:cNvPr id="51" name="Imagen 50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9575" y="7515225"/>
          <a:ext cx="931334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400050</xdr:colOff>
      <xdr:row>42</xdr:row>
      <xdr:rowOff>171450</xdr:rowOff>
    </xdr:from>
    <xdr:to>
      <xdr:col>16</xdr:col>
      <xdr:colOff>603250</xdr:colOff>
      <xdr:row>45</xdr:row>
      <xdr:rowOff>142875</xdr:rowOff>
    </xdr:to>
    <xdr:pic macro="[0]!nada">
      <xdr:nvPicPr>
        <xdr:cNvPr id="52" name="Imagen 51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0050" y="8229600"/>
          <a:ext cx="965200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</xdr:colOff>
      <xdr:row>8</xdr:row>
      <xdr:rowOff>66676</xdr:rowOff>
    </xdr:from>
    <xdr:to>
      <xdr:col>13</xdr:col>
      <xdr:colOff>85724</xdr:colOff>
      <xdr:row>14</xdr:row>
      <xdr:rowOff>47626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1571626"/>
          <a:ext cx="2343149" cy="1123950"/>
        </a:xfrm>
        <a:prstGeom prst="rect">
          <a:avLst/>
        </a:prstGeom>
      </xdr:spPr>
    </xdr:pic>
    <xdr:clientData/>
  </xdr:twoCellAnchor>
  <xdr:twoCellAnchor editAs="oneCell">
    <xdr:from>
      <xdr:col>16</xdr:col>
      <xdr:colOff>85726</xdr:colOff>
      <xdr:row>8</xdr:row>
      <xdr:rowOff>102991</xdr:rowOff>
    </xdr:from>
    <xdr:to>
      <xdr:col>19</xdr:col>
      <xdr:colOff>129380</xdr:colOff>
      <xdr:row>14</xdr:row>
      <xdr:rowOff>95250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6" y="1607941"/>
          <a:ext cx="2329654" cy="1135259"/>
        </a:xfrm>
        <a:prstGeom prst="rect">
          <a:avLst/>
        </a:prstGeom>
      </xdr:spPr>
    </xdr:pic>
    <xdr:clientData/>
  </xdr:twoCellAnchor>
  <xdr:twoCellAnchor editAs="oneCell">
    <xdr:from>
      <xdr:col>4</xdr:col>
      <xdr:colOff>171449</xdr:colOff>
      <xdr:row>8</xdr:row>
      <xdr:rowOff>57151</xdr:rowOff>
    </xdr:from>
    <xdr:to>
      <xdr:col>7</xdr:col>
      <xdr:colOff>276224</xdr:colOff>
      <xdr:row>14</xdr:row>
      <xdr:rowOff>50007</xdr:rowOff>
    </xdr:to>
    <xdr:pic macro="[0]!mensual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49" y="1562101"/>
          <a:ext cx="2390775" cy="1135856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47626</xdr:colOff>
      <xdr:row>17</xdr:row>
      <xdr:rowOff>156028</xdr:rowOff>
    </xdr:from>
    <xdr:to>
      <xdr:col>16</xdr:col>
      <xdr:colOff>104776</xdr:colOff>
      <xdr:row>23</xdr:row>
      <xdr:rowOff>140492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6" y="3375478"/>
          <a:ext cx="2343150" cy="1127464"/>
        </a:xfrm>
        <a:prstGeom prst="rect">
          <a:avLst/>
        </a:prstGeom>
      </xdr:spPr>
    </xdr:pic>
    <xdr:clientData/>
  </xdr:twoCellAnchor>
  <xdr:twoCellAnchor editAs="oneCell">
    <xdr:from>
      <xdr:col>6</xdr:col>
      <xdr:colOff>257176</xdr:colOff>
      <xdr:row>17</xdr:row>
      <xdr:rowOff>114300</xdr:rowOff>
    </xdr:from>
    <xdr:to>
      <xdr:col>9</xdr:col>
      <xdr:colOff>342900</xdr:colOff>
      <xdr:row>23</xdr:row>
      <xdr:rowOff>104775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6" y="3333750"/>
          <a:ext cx="2371724" cy="1133475"/>
        </a:xfrm>
        <a:prstGeom prst="rect">
          <a:avLst/>
        </a:prstGeom>
      </xdr:spPr>
    </xdr:pic>
    <xdr:clientData/>
  </xdr:twoCellAnchor>
  <xdr:twoCellAnchor editAs="oneCell">
    <xdr:from>
      <xdr:col>1</xdr:col>
      <xdr:colOff>514350</xdr:colOff>
      <xdr:row>1</xdr:row>
      <xdr:rowOff>85725</xdr:rowOff>
    </xdr:from>
    <xdr:to>
      <xdr:col>2</xdr:col>
      <xdr:colOff>495299</xdr:colOff>
      <xdr:row>5</xdr:row>
      <xdr:rowOff>85724</xdr:rowOff>
    </xdr:to>
    <xdr:pic macro="[0]!regresarMenu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276350" y="276225"/>
          <a:ext cx="742949" cy="742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</xdr:colOff>
      <xdr:row>8</xdr:row>
      <xdr:rowOff>152399</xdr:rowOff>
    </xdr:from>
    <xdr:to>
      <xdr:col>9</xdr:col>
      <xdr:colOff>432859</xdr:colOff>
      <xdr:row>19</xdr:row>
      <xdr:rowOff>9524</xdr:rowOff>
    </xdr:to>
    <xdr:pic macro="[0]!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9525" y="1676399"/>
          <a:ext cx="3471334" cy="1952625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8</xdr:row>
      <xdr:rowOff>173831</xdr:rowOff>
    </xdr:from>
    <xdr:to>
      <xdr:col>17</xdr:col>
      <xdr:colOff>504827</xdr:colOff>
      <xdr:row>19</xdr:row>
      <xdr:rowOff>28575</xdr:rowOff>
    </xdr:to>
    <xdr:pic macro="[0]!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1725" y="1697831"/>
          <a:ext cx="3467102" cy="1950244"/>
        </a:xfrm>
        <a:prstGeom prst="rect">
          <a:avLst/>
        </a:prstGeom>
      </xdr:spPr>
    </xdr:pic>
    <xdr:clientData/>
  </xdr:twoCellAnchor>
  <xdr:twoCellAnchor editAs="oneCell">
    <xdr:from>
      <xdr:col>1</xdr:col>
      <xdr:colOff>581025</xdr:colOff>
      <xdr:row>1</xdr:row>
      <xdr:rowOff>19050</xdr:rowOff>
    </xdr:from>
    <xdr:to>
      <xdr:col>2</xdr:col>
      <xdr:colOff>561974</xdr:colOff>
      <xdr:row>4</xdr:row>
      <xdr:rowOff>190499</xdr:rowOff>
    </xdr:to>
    <xdr:pic macro="[0]!regresarMenu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343025" y="209550"/>
          <a:ext cx="742949" cy="742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1</xdr:row>
      <xdr:rowOff>0</xdr:rowOff>
    </xdr:from>
    <xdr:to>
      <xdr:col>1</xdr:col>
      <xdr:colOff>581024</xdr:colOff>
      <xdr:row>4</xdr:row>
      <xdr:rowOff>171449</xdr:rowOff>
    </xdr:to>
    <xdr:pic macro="[0]!regresarCatalogo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0007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180975</xdr:colOff>
      <xdr:row>0</xdr:row>
      <xdr:rowOff>95250</xdr:rowOff>
    </xdr:from>
    <xdr:to>
      <xdr:col>13</xdr:col>
      <xdr:colOff>353965</xdr:colOff>
      <xdr:row>5</xdr:row>
      <xdr:rowOff>106315</xdr:rowOff>
    </xdr:to>
    <xdr:pic macro="[0]!MenuPrincipal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1123951</xdr:colOff>
      <xdr:row>5</xdr:row>
      <xdr:rowOff>95250</xdr:rowOff>
    </xdr:from>
    <xdr:to>
      <xdr:col>5</xdr:col>
      <xdr:colOff>551840</xdr:colOff>
      <xdr:row>10</xdr:row>
      <xdr:rowOff>47014</xdr:rowOff>
    </xdr:to>
    <xdr:pic macro="[0]!crear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1" y="1047750"/>
          <a:ext cx="904264" cy="9042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1</xdr:row>
      <xdr:rowOff>19050</xdr:rowOff>
    </xdr:from>
    <xdr:to>
      <xdr:col>1</xdr:col>
      <xdr:colOff>628649</xdr:colOff>
      <xdr:row>4</xdr:row>
      <xdr:rowOff>190499</xdr:rowOff>
    </xdr:to>
    <xdr:pic macro="[0]!RegresarImssMensual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47700" y="20955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20</xdr:col>
      <xdr:colOff>495300</xdr:colOff>
      <xdr:row>1</xdr:row>
      <xdr:rowOff>0</xdr:rowOff>
    </xdr:from>
    <xdr:to>
      <xdr:col>21</xdr:col>
      <xdr:colOff>696865</xdr:colOff>
      <xdr:row>6</xdr:row>
      <xdr:rowOff>11065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35300" y="190500"/>
          <a:ext cx="963565" cy="96356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520520</xdr:colOff>
      <xdr:row>0</xdr:row>
      <xdr:rowOff>85724</xdr:rowOff>
    </xdr:from>
    <xdr:to>
      <xdr:col>14</xdr:col>
      <xdr:colOff>457200</xdr:colOff>
      <xdr:row>4</xdr:row>
      <xdr:rowOff>57150</xdr:rowOff>
    </xdr:to>
    <xdr:pic macro="[0]!MenuPrincipal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5293795" y="8572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76199</xdr:rowOff>
    </xdr:from>
    <xdr:to>
      <xdr:col>1</xdr:col>
      <xdr:colOff>190499</xdr:colOff>
      <xdr:row>3</xdr:row>
      <xdr:rowOff>180975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266700" y="266699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1</xdr:col>
      <xdr:colOff>495300</xdr:colOff>
      <xdr:row>0</xdr:row>
      <xdr:rowOff>161926</xdr:rowOff>
    </xdr:from>
    <xdr:to>
      <xdr:col>1</xdr:col>
      <xdr:colOff>1104900</xdr:colOff>
      <xdr:row>4</xdr:row>
      <xdr:rowOff>9526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" y="161926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2</xdr:col>
      <xdr:colOff>120030</xdr:colOff>
      <xdr:row>1</xdr:row>
      <xdr:rowOff>40991</xdr:rowOff>
    </xdr:from>
    <xdr:to>
      <xdr:col>2</xdr:col>
      <xdr:colOff>514349</xdr:colOff>
      <xdr:row>3</xdr:row>
      <xdr:rowOff>152400</xdr:rowOff>
    </xdr:to>
    <xdr:pic macro="[0]!ims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755" y="231491"/>
          <a:ext cx="394319" cy="492409"/>
        </a:xfrm>
        <a:prstGeom prst="rect">
          <a:avLst/>
        </a:prstGeom>
      </xdr:spPr>
    </xdr:pic>
    <xdr:clientData/>
  </xdr:twoCellAnchor>
  <xdr:twoCellAnchor editAs="oneCell">
    <xdr:from>
      <xdr:col>1</xdr:col>
      <xdr:colOff>1475764</xdr:colOff>
      <xdr:row>1</xdr:row>
      <xdr:rowOff>47014</xdr:rowOff>
    </xdr:from>
    <xdr:to>
      <xdr:col>1</xdr:col>
      <xdr:colOff>1952625</xdr:colOff>
      <xdr:row>3</xdr:row>
      <xdr:rowOff>142875</xdr:rowOff>
    </xdr:to>
    <xdr:pic macro="[0]!limpiar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914" y="237514"/>
          <a:ext cx="476861" cy="476861"/>
        </a:xfrm>
        <a:prstGeom prst="rect">
          <a:avLst/>
        </a:prstGeom>
      </xdr:spPr>
    </xdr:pic>
    <xdr:clientData/>
  </xdr:twoCellAnchor>
  <xdr:twoCellAnchor editAs="oneCell">
    <xdr:from>
      <xdr:col>3</xdr:col>
      <xdr:colOff>182696</xdr:colOff>
      <xdr:row>1</xdr:row>
      <xdr:rowOff>49345</xdr:rowOff>
    </xdr:from>
    <xdr:to>
      <xdr:col>3</xdr:col>
      <xdr:colOff>685801</xdr:colOff>
      <xdr:row>3</xdr:row>
      <xdr:rowOff>171450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6996" y="239845"/>
          <a:ext cx="503105" cy="5031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0</xdr:row>
      <xdr:rowOff>123825</xdr:rowOff>
    </xdr:from>
    <xdr:to>
      <xdr:col>18</xdr:col>
      <xdr:colOff>342900</xdr:colOff>
      <xdr:row>5</xdr:row>
      <xdr:rowOff>85725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4525" y="123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9525</xdr:rowOff>
    </xdr:from>
    <xdr:to>
      <xdr:col>1</xdr:col>
      <xdr:colOff>609599</xdr:colOff>
      <xdr:row>4</xdr:row>
      <xdr:rowOff>180974</xdr:rowOff>
    </xdr:to>
    <xdr:pic macro="[0]!regresarTablas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361950</xdr:colOff>
      <xdr:row>0</xdr:row>
      <xdr:rowOff>104775</xdr:rowOff>
    </xdr:from>
    <xdr:to>
      <xdr:col>20</xdr:col>
      <xdr:colOff>563515</xdr:colOff>
      <xdr:row>5</xdr:row>
      <xdr:rowOff>115840</xdr:rowOff>
    </xdr:to>
    <xdr:pic macro="[0]!MenuPrincipal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9950" y="10477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1</xdr:row>
      <xdr:rowOff>0</xdr:rowOff>
    </xdr:from>
    <xdr:to>
      <xdr:col>1</xdr:col>
      <xdr:colOff>600074</xdr:colOff>
      <xdr:row>4</xdr:row>
      <xdr:rowOff>171449</xdr:rowOff>
    </xdr:to>
    <xdr:pic macro="[0]!regresarCatalogo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1912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12</xdr:row>
      <xdr:rowOff>52386</xdr:rowOff>
    </xdr:from>
    <xdr:to>
      <xdr:col>7</xdr:col>
      <xdr:colOff>128060</xdr:colOff>
      <xdr:row>21</xdr:row>
      <xdr:rowOff>76199</xdr:rowOff>
    </xdr:to>
    <xdr:pic macro="[0]!TablasMensuales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338386"/>
          <a:ext cx="3090335" cy="1738313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85726</xdr:colOff>
      <xdr:row>12</xdr:row>
      <xdr:rowOff>66675</xdr:rowOff>
    </xdr:from>
    <xdr:to>
      <xdr:col>18</xdr:col>
      <xdr:colOff>136526</xdr:colOff>
      <xdr:row>21</xdr:row>
      <xdr:rowOff>95250</xdr:rowOff>
    </xdr:to>
    <xdr:pic macro="[0]!TablasSemanale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6" y="2352675"/>
          <a:ext cx="3098800" cy="1743075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619126</xdr:colOff>
      <xdr:row>12</xdr:row>
      <xdr:rowOff>72629</xdr:rowOff>
    </xdr:from>
    <xdr:to>
      <xdr:col>12</xdr:col>
      <xdr:colOff>676276</xdr:colOff>
      <xdr:row>21</xdr:row>
      <xdr:rowOff>104775</xdr:rowOff>
    </xdr:to>
    <xdr:pic macro="[0]!TablasQuincenales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2358629"/>
          <a:ext cx="3105150" cy="17466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363490</xdr:colOff>
      <xdr:row>0</xdr:row>
      <xdr:rowOff>133350</xdr:rowOff>
    </xdr:from>
    <xdr:to>
      <xdr:col>18</xdr:col>
      <xdr:colOff>515890</xdr:colOff>
      <xdr:row>5</xdr:row>
      <xdr:rowOff>95250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17515" y="133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190499</xdr:rowOff>
    </xdr:from>
    <xdr:to>
      <xdr:col>1</xdr:col>
      <xdr:colOff>666749</xdr:colOff>
      <xdr:row>4</xdr:row>
      <xdr:rowOff>171448</xdr:rowOff>
    </xdr:to>
    <xdr:pic macro="[0]!regresar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85800" y="190499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619125</xdr:colOff>
      <xdr:row>24</xdr:row>
      <xdr:rowOff>28575</xdr:rowOff>
    </xdr:from>
    <xdr:to>
      <xdr:col>10</xdr:col>
      <xdr:colOff>314325</xdr:colOff>
      <xdr:row>27</xdr:row>
      <xdr:rowOff>142875</xdr:rowOff>
    </xdr:to>
    <xdr:pic macro="[0]!catalogo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5219700"/>
          <a:ext cx="1219200" cy="685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0</xdr:rowOff>
    </xdr:from>
    <xdr:to>
      <xdr:col>1</xdr:col>
      <xdr:colOff>609599</xdr:colOff>
      <xdr:row>4</xdr:row>
      <xdr:rowOff>171449</xdr:rowOff>
    </xdr:to>
    <xdr:pic macro="[0]!regresarTabla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647700</xdr:colOff>
      <xdr:row>24</xdr:row>
      <xdr:rowOff>171450</xdr:rowOff>
    </xdr:from>
    <xdr:to>
      <xdr:col>10</xdr:col>
      <xdr:colOff>342900</xdr:colOff>
      <xdr:row>28</xdr:row>
      <xdr:rowOff>95250</xdr:rowOff>
    </xdr:to>
    <xdr:pic macro="[0]!catalogo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700" y="5362575"/>
          <a:ext cx="121920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4" name="Tabla4" displayName="Tabla4" ref="C14:H201" totalsRowShown="0" headerRowDxfId="4" tableBorderDxfId="3">
  <autoFilter ref="C14:H201"/>
  <tableColumns count="6">
    <tableColumn id="1" name="Razon Social"/>
    <tableColumn id="2" name="RFC"/>
    <tableColumn id="3" name="Registro Patronal"/>
    <tableColumn id="4" name="Prima de Riesgo" dataDxfId="2"/>
    <tableColumn id="5" name="Entidad Federativa" dataDxfId="1"/>
    <tableColumn id="6" name="Impuesto/Nómina" dataDxfId="0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S429"/>
  <sheetViews>
    <sheetView topLeftCell="B1" workbookViewId="0">
      <selection activeCell="W1" sqref="W1"/>
    </sheetView>
  </sheetViews>
  <sheetFormatPr baseColWidth="10" defaultRowHeight="15" x14ac:dyDescent="0.25"/>
  <sheetData>
    <row r="1" spans="1:71" ht="15" customHeight="1" x14ac:dyDescent="0.25">
      <c r="A1" s="116" t="s">
        <v>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2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</row>
    <row r="2" spans="1:71" ht="15" customHeigh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</row>
    <row r="3" spans="1:71" ht="15" customHeight="1" x14ac:dyDescent="0.25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2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</row>
    <row r="4" spans="1:71" ht="15" customHeight="1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2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</row>
    <row r="5" spans="1:71" ht="15" customHeight="1" x14ac:dyDescent="0.25">
      <c r="A5" s="1"/>
      <c r="B5" s="1"/>
      <c r="C5" s="1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</row>
    <row r="6" spans="1:7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</row>
    <row r="7" spans="1:7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</row>
    <row r="8" spans="1:7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</row>
    <row r="9" spans="1:7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</row>
    <row r="10" spans="1:7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</row>
    <row r="11" spans="1:7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</row>
    <row r="12" spans="1:7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</row>
    <row r="13" spans="1:7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</row>
    <row r="14" spans="1:7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</row>
    <row r="15" spans="1:7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</row>
    <row r="16" spans="1:7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</row>
    <row r="17" spans="1:71" ht="15.75" thickBot="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25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</row>
    <row r="18" spans="1:71" ht="15.75" customHeight="1" x14ac:dyDescent="0.25">
      <c r="A18" s="1"/>
      <c r="B18" s="117" t="s">
        <v>110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9"/>
      <c r="V18" s="106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</row>
    <row r="19" spans="1:71" ht="15.75" customHeight="1" thickBot="1" x14ac:dyDescent="0.3">
      <c r="A19" s="1"/>
      <c r="B19" s="120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2"/>
      <c r="V19" s="106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</row>
    <row r="20" spans="1:71" ht="15" customHeight="1" thickBot="1" x14ac:dyDescent="0.3">
      <c r="A20" s="2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06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</row>
    <row r="21" spans="1:71" ht="15" customHeight="1" thickBot="1" x14ac:dyDescent="0.3">
      <c r="A21" s="106"/>
      <c r="B21" s="115" t="s">
        <v>112</v>
      </c>
      <c r="C21" s="115"/>
      <c r="D21" s="115"/>
      <c r="E21" s="115"/>
      <c r="F21" s="115"/>
      <c r="G21" s="115"/>
      <c r="H21" s="1"/>
      <c r="I21" s="126" t="s">
        <v>111</v>
      </c>
      <c r="J21" s="127"/>
      <c r="K21" s="127"/>
      <c r="L21" s="127"/>
      <c r="M21" s="127"/>
      <c r="N21" s="128"/>
      <c r="O21" s="1"/>
      <c r="P21" s="126" t="s">
        <v>106</v>
      </c>
      <c r="Q21" s="127"/>
      <c r="R21" s="127"/>
      <c r="S21" s="127"/>
      <c r="T21" s="127"/>
      <c r="U21" s="128"/>
      <c r="V21" s="1"/>
      <c r="W21" s="106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</row>
    <row r="22" spans="1:71" ht="15.75" customHeight="1" thickBot="1" x14ac:dyDescent="0.3">
      <c r="A22" s="1"/>
      <c r="B22" s="115"/>
      <c r="C22" s="115"/>
      <c r="D22" s="115"/>
      <c r="E22" s="115"/>
      <c r="F22" s="115"/>
      <c r="G22" s="115"/>
      <c r="H22" s="1"/>
      <c r="I22" s="129"/>
      <c r="J22" s="130"/>
      <c r="K22" s="130"/>
      <c r="L22" s="130"/>
      <c r="M22" s="130"/>
      <c r="N22" s="131"/>
      <c r="O22" s="1"/>
      <c r="P22" s="129"/>
      <c r="Q22" s="130"/>
      <c r="R22" s="130"/>
      <c r="S22" s="130"/>
      <c r="T22" s="130"/>
      <c r="U22" s="13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</row>
    <row r="23" spans="1:71" x14ac:dyDescent="0.25">
      <c r="A23" s="95"/>
      <c r="B23" s="25"/>
      <c r="C23" s="25"/>
      <c r="D23" s="25"/>
      <c r="E23" s="25"/>
      <c r="F23" s="25"/>
      <c r="G23" s="95"/>
      <c r="H23" s="1"/>
      <c r="I23" s="103"/>
      <c r="J23" s="104"/>
      <c r="K23" s="104"/>
      <c r="L23" s="104"/>
      <c r="M23" s="104"/>
      <c r="N23" s="105"/>
      <c r="O23" s="1"/>
      <c r="P23" s="103"/>
      <c r="Q23" s="104"/>
      <c r="R23" s="104"/>
      <c r="S23" s="104"/>
      <c r="T23" s="104"/>
      <c r="U23" s="10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</row>
    <row r="24" spans="1:71" ht="15" customHeight="1" x14ac:dyDescent="0.25">
      <c r="A24" s="95"/>
      <c r="B24" s="114"/>
      <c r="C24" s="114"/>
      <c r="D24" s="123" t="s">
        <v>113</v>
      </c>
      <c r="E24" s="123"/>
      <c r="F24" s="123"/>
      <c r="G24" s="124"/>
      <c r="H24" s="1"/>
      <c r="I24" s="125"/>
      <c r="J24" s="114"/>
      <c r="K24" s="123" t="s">
        <v>117</v>
      </c>
      <c r="L24" s="123"/>
      <c r="M24" s="123"/>
      <c r="N24" s="124"/>
      <c r="O24" s="1"/>
      <c r="P24" s="125"/>
      <c r="Q24" s="114"/>
      <c r="R24" s="123" t="s">
        <v>130</v>
      </c>
      <c r="S24" s="123"/>
      <c r="T24" s="123"/>
      <c r="U24" s="1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</row>
    <row r="25" spans="1:71" x14ac:dyDescent="0.25">
      <c r="A25" s="95"/>
      <c r="B25" s="114"/>
      <c r="C25" s="114"/>
      <c r="D25" s="123"/>
      <c r="E25" s="123"/>
      <c r="F25" s="123"/>
      <c r="G25" s="124"/>
      <c r="H25" s="1"/>
      <c r="I25" s="125"/>
      <c r="J25" s="114"/>
      <c r="K25" s="123"/>
      <c r="L25" s="123"/>
      <c r="M25" s="123"/>
      <c r="N25" s="124"/>
      <c r="O25" s="1"/>
      <c r="P25" s="125"/>
      <c r="Q25" s="114"/>
      <c r="R25" s="123"/>
      <c r="S25" s="123"/>
      <c r="T25" s="123"/>
      <c r="U25" s="124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</row>
    <row r="26" spans="1:71" x14ac:dyDescent="0.25">
      <c r="A26" s="95"/>
      <c r="B26" s="114"/>
      <c r="C26" s="114"/>
      <c r="D26" s="123"/>
      <c r="E26" s="123"/>
      <c r="F26" s="123"/>
      <c r="G26" s="124"/>
      <c r="H26" s="1"/>
      <c r="I26" s="125"/>
      <c r="J26" s="114"/>
      <c r="K26" s="123"/>
      <c r="L26" s="123"/>
      <c r="M26" s="123"/>
      <c r="N26" s="124"/>
      <c r="O26" s="1"/>
      <c r="P26" s="125"/>
      <c r="Q26" s="114"/>
      <c r="R26" s="123"/>
      <c r="S26" s="123"/>
      <c r="T26" s="123"/>
      <c r="U26" s="124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</row>
    <row r="27" spans="1:71" x14ac:dyDescent="0.25">
      <c r="A27" s="95"/>
      <c r="B27" s="25"/>
      <c r="C27" s="25"/>
      <c r="D27" s="25"/>
      <c r="E27" s="25"/>
      <c r="F27" s="25"/>
      <c r="G27" s="95"/>
      <c r="H27" s="1"/>
      <c r="I27" s="96"/>
      <c r="J27" s="25"/>
      <c r="K27" s="25"/>
      <c r="L27" s="25"/>
      <c r="M27" s="25"/>
      <c r="N27" s="95"/>
      <c r="O27" s="1"/>
      <c r="P27" s="96"/>
      <c r="Q27" s="25"/>
      <c r="R27" s="25"/>
      <c r="S27" s="25"/>
      <c r="T27" s="25"/>
      <c r="U27" s="9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</row>
    <row r="28" spans="1:71" ht="15" customHeight="1" x14ac:dyDescent="0.25">
      <c r="A28" s="107"/>
      <c r="B28" s="114"/>
      <c r="C28" s="114"/>
      <c r="D28" s="123" t="s">
        <v>114</v>
      </c>
      <c r="E28" s="123"/>
      <c r="F28" s="123"/>
      <c r="G28" s="124"/>
      <c r="H28" s="1"/>
      <c r="I28" s="125"/>
      <c r="J28" s="114"/>
      <c r="K28" s="123" t="s">
        <v>118</v>
      </c>
      <c r="L28" s="123"/>
      <c r="M28" s="123"/>
      <c r="N28" s="124"/>
      <c r="O28" s="1"/>
      <c r="P28" s="125"/>
      <c r="Q28" s="114"/>
      <c r="R28" s="123" t="s">
        <v>129</v>
      </c>
      <c r="S28" s="123"/>
      <c r="T28" s="123"/>
      <c r="U28" s="124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</row>
    <row r="29" spans="1:71" x14ac:dyDescent="0.25">
      <c r="A29" s="107"/>
      <c r="B29" s="114"/>
      <c r="C29" s="114"/>
      <c r="D29" s="123"/>
      <c r="E29" s="123"/>
      <c r="F29" s="123"/>
      <c r="G29" s="124"/>
      <c r="H29" s="1"/>
      <c r="I29" s="125"/>
      <c r="J29" s="114"/>
      <c r="K29" s="123"/>
      <c r="L29" s="123"/>
      <c r="M29" s="123"/>
      <c r="N29" s="124"/>
      <c r="O29" s="1"/>
      <c r="P29" s="125"/>
      <c r="Q29" s="114"/>
      <c r="R29" s="123"/>
      <c r="S29" s="123"/>
      <c r="T29" s="123"/>
      <c r="U29" s="124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</row>
    <row r="30" spans="1:71" x14ac:dyDescent="0.25">
      <c r="A30" s="107"/>
      <c r="B30" s="114"/>
      <c r="C30" s="114"/>
      <c r="D30" s="123"/>
      <c r="E30" s="123"/>
      <c r="F30" s="123"/>
      <c r="G30" s="124"/>
      <c r="H30" s="1"/>
      <c r="I30" s="125"/>
      <c r="J30" s="114"/>
      <c r="K30" s="123"/>
      <c r="L30" s="123"/>
      <c r="M30" s="123"/>
      <c r="N30" s="124"/>
      <c r="O30" s="1"/>
      <c r="P30" s="125"/>
      <c r="Q30" s="114"/>
      <c r="R30" s="123"/>
      <c r="S30" s="123"/>
      <c r="T30" s="123"/>
      <c r="U30" s="124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</row>
    <row r="31" spans="1:71" x14ac:dyDescent="0.25">
      <c r="A31" s="107"/>
      <c r="B31" s="114"/>
      <c r="C31" s="114"/>
      <c r="D31" s="123"/>
      <c r="E31" s="123"/>
      <c r="F31" s="123"/>
      <c r="G31" s="124"/>
      <c r="H31" s="1"/>
      <c r="I31" s="102"/>
      <c r="J31" s="99"/>
      <c r="K31" s="100"/>
      <c r="L31" s="100"/>
      <c r="M31" s="100"/>
      <c r="N31" s="101"/>
      <c r="O31" s="1"/>
      <c r="P31" s="102"/>
      <c r="Q31" s="99"/>
      <c r="R31" s="100"/>
      <c r="S31" s="100"/>
      <c r="T31" s="100"/>
      <c r="U31" s="10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</row>
    <row r="32" spans="1:71" ht="15" customHeight="1" x14ac:dyDescent="0.25">
      <c r="A32" s="95"/>
      <c r="B32" s="25"/>
      <c r="C32" s="97"/>
      <c r="D32" s="97"/>
      <c r="E32" s="97"/>
      <c r="F32" s="25"/>
      <c r="G32" s="95"/>
      <c r="H32" s="1"/>
      <c r="I32" s="125"/>
      <c r="J32" s="114"/>
      <c r="K32" s="123" t="s">
        <v>119</v>
      </c>
      <c r="L32" s="123"/>
      <c r="M32" s="123"/>
      <c r="N32" s="124"/>
      <c r="O32" s="1"/>
      <c r="P32" s="125"/>
      <c r="Q32" s="114"/>
      <c r="R32" s="123" t="s">
        <v>128</v>
      </c>
      <c r="S32" s="123"/>
      <c r="T32" s="123"/>
      <c r="U32" s="124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</row>
    <row r="33" spans="1:71" ht="15.75" customHeight="1" x14ac:dyDescent="0.25">
      <c r="A33" s="95"/>
      <c r="B33" s="114"/>
      <c r="C33" s="114"/>
      <c r="D33" s="123" t="s">
        <v>115</v>
      </c>
      <c r="E33" s="123"/>
      <c r="F33" s="123"/>
      <c r="G33" s="124"/>
      <c r="H33" s="1"/>
      <c r="I33" s="125"/>
      <c r="J33" s="114"/>
      <c r="K33" s="123"/>
      <c r="L33" s="123"/>
      <c r="M33" s="123"/>
      <c r="N33" s="124"/>
      <c r="O33" s="1"/>
      <c r="P33" s="125"/>
      <c r="Q33" s="114"/>
      <c r="R33" s="123"/>
      <c r="S33" s="123"/>
      <c r="T33" s="123"/>
      <c r="U33" s="124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</row>
    <row r="34" spans="1:71" x14ac:dyDescent="0.25">
      <c r="A34" s="95"/>
      <c r="B34" s="114"/>
      <c r="C34" s="114"/>
      <c r="D34" s="123"/>
      <c r="E34" s="123"/>
      <c r="F34" s="123"/>
      <c r="G34" s="124"/>
      <c r="H34" s="1"/>
      <c r="I34" s="125"/>
      <c r="J34" s="114"/>
      <c r="K34" s="123"/>
      <c r="L34" s="123"/>
      <c r="M34" s="123"/>
      <c r="N34" s="124"/>
      <c r="O34" s="1"/>
      <c r="P34" s="125"/>
      <c r="Q34" s="114"/>
      <c r="R34" s="123"/>
      <c r="S34" s="123"/>
      <c r="T34" s="123"/>
      <c r="U34" s="12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</row>
    <row r="35" spans="1:71" x14ac:dyDescent="0.25">
      <c r="A35" s="95"/>
      <c r="B35" s="114"/>
      <c r="C35" s="114"/>
      <c r="D35" s="123"/>
      <c r="E35" s="123"/>
      <c r="F35" s="123"/>
      <c r="G35" s="124"/>
      <c r="H35" s="1"/>
      <c r="I35" s="96"/>
      <c r="J35" s="25"/>
      <c r="K35" s="25"/>
      <c r="L35" s="25"/>
      <c r="M35" s="25"/>
      <c r="N35" s="95"/>
      <c r="O35" s="1"/>
      <c r="P35" s="96"/>
      <c r="Q35" s="25"/>
      <c r="R35" s="25"/>
      <c r="S35" s="25"/>
      <c r="T35" s="25"/>
      <c r="U35" s="95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</row>
    <row r="36" spans="1:71" x14ac:dyDescent="0.25">
      <c r="A36" s="95"/>
      <c r="B36" s="25"/>
      <c r="C36" s="25"/>
      <c r="D36" s="25"/>
      <c r="E36" s="25"/>
      <c r="F36" s="25"/>
      <c r="G36" s="95"/>
      <c r="H36" s="1"/>
      <c r="I36" s="125"/>
      <c r="J36" s="114"/>
      <c r="K36" s="123" t="s">
        <v>120</v>
      </c>
      <c r="L36" s="123"/>
      <c r="M36" s="123"/>
      <c r="N36" s="124"/>
      <c r="O36" s="1"/>
      <c r="P36" s="125"/>
      <c r="Q36" s="114"/>
      <c r="R36" s="123" t="s">
        <v>127</v>
      </c>
      <c r="S36" s="123"/>
      <c r="T36" s="123"/>
      <c r="U36" s="124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</row>
    <row r="37" spans="1:71" ht="15" customHeight="1" x14ac:dyDescent="0.25">
      <c r="A37" s="95"/>
      <c r="B37" s="114"/>
      <c r="C37" s="114"/>
      <c r="D37" s="123" t="s">
        <v>116</v>
      </c>
      <c r="E37" s="123"/>
      <c r="F37" s="123"/>
      <c r="G37" s="124"/>
      <c r="H37" s="1"/>
      <c r="I37" s="125"/>
      <c r="J37" s="114"/>
      <c r="K37" s="123"/>
      <c r="L37" s="123"/>
      <c r="M37" s="123"/>
      <c r="N37" s="124"/>
      <c r="O37" s="1"/>
      <c r="P37" s="125"/>
      <c r="Q37" s="114"/>
      <c r="R37" s="123"/>
      <c r="S37" s="123"/>
      <c r="T37" s="123"/>
      <c r="U37" s="124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</row>
    <row r="38" spans="1:71" x14ac:dyDescent="0.25">
      <c r="A38" s="95"/>
      <c r="B38" s="114"/>
      <c r="C38" s="114"/>
      <c r="D38" s="123"/>
      <c r="E38" s="123"/>
      <c r="F38" s="123"/>
      <c r="G38" s="124"/>
      <c r="H38" s="1"/>
      <c r="I38" s="125"/>
      <c r="J38" s="114"/>
      <c r="K38" s="123"/>
      <c r="L38" s="123"/>
      <c r="M38" s="123"/>
      <c r="N38" s="124"/>
      <c r="O38" s="1"/>
      <c r="P38" s="125"/>
      <c r="Q38" s="114"/>
      <c r="R38" s="123"/>
      <c r="S38" s="123"/>
      <c r="T38" s="123"/>
      <c r="U38" s="124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</row>
    <row r="39" spans="1:71" x14ac:dyDescent="0.25">
      <c r="A39" s="95"/>
      <c r="B39" s="114"/>
      <c r="C39" s="114"/>
      <c r="D39" s="123"/>
      <c r="E39" s="123"/>
      <c r="F39" s="123"/>
      <c r="G39" s="124"/>
      <c r="H39" s="1"/>
      <c r="I39" s="102"/>
      <c r="J39" s="99"/>
      <c r="K39" s="100"/>
      <c r="L39" s="100"/>
      <c r="M39" s="100"/>
      <c r="N39" s="101"/>
      <c r="O39" s="1"/>
      <c r="P39" s="96"/>
      <c r="Q39" s="25"/>
      <c r="R39" s="25"/>
      <c r="S39" s="25"/>
      <c r="T39" s="25"/>
      <c r="U39" s="9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</row>
    <row r="40" spans="1:71" ht="15.75" customHeight="1" thickBot="1" x14ac:dyDescent="0.3">
      <c r="A40" s="95"/>
      <c r="B40" s="93"/>
      <c r="C40" s="94"/>
      <c r="D40" s="94"/>
      <c r="E40" s="94"/>
      <c r="F40" s="94"/>
      <c r="G40" s="98"/>
      <c r="H40" s="1"/>
      <c r="I40" s="125"/>
      <c r="J40" s="114"/>
      <c r="K40" s="123" t="s">
        <v>121</v>
      </c>
      <c r="L40" s="123"/>
      <c r="M40" s="123"/>
      <c r="N40" s="124"/>
      <c r="O40" s="1"/>
      <c r="P40" s="125"/>
      <c r="Q40" s="114"/>
      <c r="R40" s="123" t="s">
        <v>126</v>
      </c>
      <c r="S40" s="123"/>
      <c r="T40" s="123"/>
      <c r="U40" s="124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</row>
    <row r="41" spans="1:71" ht="15" customHeight="1" x14ac:dyDescent="0.25">
      <c r="A41" s="25"/>
      <c r="B41" s="99"/>
      <c r="C41" s="99"/>
      <c r="D41" s="100"/>
      <c r="E41" s="100"/>
      <c r="F41" s="100"/>
      <c r="G41" s="100"/>
      <c r="H41" s="25"/>
      <c r="I41" s="125"/>
      <c r="J41" s="114"/>
      <c r="K41" s="123"/>
      <c r="L41" s="123"/>
      <c r="M41" s="123"/>
      <c r="N41" s="124"/>
      <c r="O41" s="1"/>
      <c r="P41" s="125"/>
      <c r="Q41" s="114"/>
      <c r="R41" s="123"/>
      <c r="S41" s="123"/>
      <c r="T41" s="123"/>
      <c r="U41" s="124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</row>
    <row r="42" spans="1:71" x14ac:dyDescent="0.25">
      <c r="A42" s="25"/>
      <c r="B42" s="99"/>
      <c r="C42" s="99"/>
      <c r="D42" s="100"/>
      <c r="E42" s="100"/>
      <c r="F42" s="100"/>
      <c r="G42" s="100"/>
      <c r="H42" s="25"/>
      <c r="I42" s="125"/>
      <c r="J42" s="114"/>
      <c r="K42" s="123"/>
      <c r="L42" s="123"/>
      <c r="M42" s="123"/>
      <c r="N42" s="124"/>
      <c r="O42" s="1"/>
      <c r="P42" s="125"/>
      <c r="Q42" s="114"/>
      <c r="R42" s="123"/>
      <c r="S42" s="123"/>
      <c r="T42" s="123"/>
      <c r="U42" s="124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</row>
    <row r="43" spans="1:71" x14ac:dyDescent="0.25">
      <c r="A43" s="25"/>
      <c r="B43" s="1"/>
      <c r="C43" s="1"/>
      <c r="D43" s="1"/>
      <c r="E43" s="1"/>
      <c r="F43" s="1"/>
      <c r="G43" s="1"/>
      <c r="H43" s="25"/>
      <c r="I43" s="96"/>
      <c r="J43" s="25"/>
      <c r="K43" s="25"/>
      <c r="L43" s="25"/>
      <c r="M43" s="25"/>
      <c r="N43" s="95"/>
      <c r="O43" s="1"/>
      <c r="P43" s="102"/>
      <c r="Q43" s="99"/>
      <c r="R43" s="100"/>
      <c r="S43" s="100"/>
      <c r="T43" s="100"/>
      <c r="U43" s="10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</row>
    <row r="44" spans="1:71" ht="15" customHeight="1" x14ac:dyDescent="0.25">
      <c r="A44" s="25"/>
      <c r="B44" s="1"/>
      <c r="C44" s="1"/>
      <c r="D44" s="1"/>
      <c r="E44" s="1"/>
      <c r="F44" s="1"/>
      <c r="G44" s="1"/>
      <c r="H44" s="25"/>
      <c r="I44" s="125"/>
      <c r="J44" s="114"/>
      <c r="K44" s="123" t="s">
        <v>122</v>
      </c>
      <c r="L44" s="123"/>
      <c r="M44" s="123"/>
      <c r="N44" s="124"/>
      <c r="O44" s="1"/>
      <c r="P44" s="125"/>
      <c r="Q44" s="114"/>
      <c r="R44" s="123" t="s">
        <v>131</v>
      </c>
      <c r="S44" s="123"/>
      <c r="T44" s="123"/>
      <c r="U44" s="124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</row>
    <row r="45" spans="1:71" ht="15" customHeight="1" x14ac:dyDescent="0.25">
      <c r="A45" s="1"/>
      <c r="B45" s="1"/>
      <c r="C45" s="1"/>
      <c r="D45" s="1"/>
      <c r="E45" s="1"/>
      <c r="F45" s="1"/>
      <c r="G45" s="1"/>
      <c r="H45" s="1"/>
      <c r="I45" s="125"/>
      <c r="J45" s="114"/>
      <c r="K45" s="123"/>
      <c r="L45" s="123"/>
      <c r="M45" s="123"/>
      <c r="N45" s="124"/>
      <c r="O45" s="1"/>
      <c r="P45" s="125"/>
      <c r="Q45" s="114"/>
      <c r="R45" s="123"/>
      <c r="S45" s="123"/>
      <c r="T45" s="123"/>
      <c r="U45" s="124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</row>
    <row r="46" spans="1:71" x14ac:dyDescent="0.25">
      <c r="A46" s="1"/>
      <c r="B46" s="1"/>
      <c r="C46" s="1"/>
      <c r="D46" s="1"/>
      <c r="E46" s="1"/>
      <c r="F46" s="1"/>
      <c r="G46" s="1"/>
      <c r="H46" s="1"/>
      <c r="I46" s="125"/>
      <c r="J46" s="114"/>
      <c r="K46" s="123"/>
      <c r="L46" s="123"/>
      <c r="M46" s="123"/>
      <c r="N46" s="124"/>
      <c r="O46" s="1"/>
      <c r="P46" s="125"/>
      <c r="Q46" s="114"/>
      <c r="R46" s="123"/>
      <c r="S46" s="123"/>
      <c r="T46" s="123"/>
      <c r="U46" s="124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</row>
    <row r="47" spans="1:71" ht="15.75" thickBot="1" x14ac:dyDescent="0.3">
      <c r="A47" s="1"/>
      <c r="B47" s="1"/>
      <c r="C47" s="1"/>
      <c r="D47" s="1"/>
      <c r="E47" s="1"/>
      <c r="F47" s="1"/>
      <c r="G47" s="1"/>
      <c r="H47" s="1"/>
      <c r="I47" s="96"/>
      <c r="J47" s="25"/>
      <c r="K47" s="25"/>
      <c r="L47" s="25"/>
      <c r="M47" s="25"/>
      <c r="N47" s="95"/>
      <c r="O47" s="108"/>
      <c r="P47" s="93"/>
      <c r="Q47" s="94"/>
      <c r="R47" s="94"/>
      <c r="S47" s="94"/>
      <c r="T47" s="94"/>
      <c r="U47" s="98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</row>
    <row r="48" spans="1:71" x14ac:dyDescent="0.25">
      <c r="A48" s="1"/>
      <c r="B48" s="1"/>
      <c r="C48" s="1"/>
      <c r="D48" s="1"/>
      <c r="E48" s="1"/>
      <c r="F48" s="1"/>
      <c r="G48" s="1"/>
      <c r="H48" s="1"/>
      <c r="I48" s="125"/>
      <c r="J48" s="114"/>
      <c r="K48" s="123" t="s">
        <v>123</v>
      </c>
      <c r="L48" s="123"/>
      <c r="M48" s="123"/>
      <c r="N48" s="124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</row>
    <row r="49" spans="1:71" x14ac:dyDescent="0.25">
      <c r="A49" s="1"/>
      <c r="B49" s="1"/>
      <c r="C49" s="1"/>
      <c r="D49" s="1"/>
      <c r="E49" s="1"/>
      <c r="F49" s="1"/>
      <c r="G49" s="1"/>
      <c r="H49" s="1"/>
      <c r="I49" s="125"/>
      <c r="J49" s="114"/>
      <c r="K49" s="123"/>
      <c r="L49" s="123"/>
      <c r="M49" s="123"/>
      <c r="N49" s="124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</row>
    <row r="50" spans="1:71" x14ac:dyDescent="0.25">
      <c r="A50" s="1"/>
      <c r="B50" s="1"/>
      <c r="C50" s="1"/>
      <c r="D50" s="1"/>
      <c r="E50" s="1"/>
      <c r="F50" s="1"/>
      <c r="G50" s="1"/>
      <c r="H50" s="1"/>
      <c r="I50" s="125"/>
      <c r="J50" s="114"/>
      <c r="K50" s="123"/>
      <c r="L50" s="123"/>
      <c r="M50" s="123"/>
      <c r="N50" s="12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</row>
    <row r="51" spans="1:71" x14ac:dyDescent="0.25">
      <c r="A51" s="1"/>
      <c r="B51" s="1"/>
      <c r="C51" s="1"/>
      <c r="D51" s="1"/>
      <c r="E51" s="1"/>
      <c r="F51" s="1"/>
      <c r="G51" s="1"/>
      <c r="H51" s="1"/>
      <c r="I51" s="96"/>
      <c r="J51" s="25"/>
      <c r="K51" s="25"/>
      <c r="L51" s="25"/>
      <c r="M51" s="25"/>
      <c r="N51" s="95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</row>
    <row r="52" spans="1:71" x14ac:dyDescent="0.25">
      <c r="A52" s="1"/>
      <c r="B52" s="1"/>
      <c r="C52" s="1"/>
      <c r="D52" s="1"/>
      <c r="E52" s="1"/>
      <c r="F52" s="1"/>
      <c r="G52" s="1"/>
      <c r="H52" s="1"/>
      <c r="I52" s="125"/>
      <c r="J52" s="114"/>
      <c r="K52" s="123" t="s">
        <v>124</v>
      </c>
      <c r="L52" s="123"/>
      <c r="M52" s="123"/>
      <c r="N52" s="124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</row>
    <row r="53" spans="1:71" x14ac:dyDescent="0.25">
      <c r="A53" s="1"/>
      <c r="B53" s="1"/>
      <c r="C53" s="1"/>
      <c r="D53" s="1"/>
      <c r="E53" s="1"/>
      <c r="F53" s="1"/>
      <c r="G53" s="1"/>
      <c r="H53" s="1"/>
      <c r="I53" s="125"/>
      <c r="J53" s="114"/>
      <c r="K53" s="123"/>
      <c r="L53" s="123"/>
      <c r="M53" s="123"/>
      <c r="N53" s="124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</row>
    <row r="54" spans="1:71" x14ac:dyDescent="0.25">
      <c r="A54" s="1"/>
      <c r="B54" s="1"/>
      <c r="C54" s="1"/>
      <c r="D54" s="1"/>
      <c r="E54" s="1"/>
      <c r="F54" s="1"/>
      <c r="G54" s="1"/>
      <c r="H54" s="1"/>
      <c r="I54" s="125"/>
      <c r="J54" s="114"/>
      <c r="K54" s="123"/>
      <c r="L54" s="123"/>
      <c r="M54" s="123"/>
      <c r="N54" s="124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</row>
    <row r="55" spans="1:71" x14ac:dyDescent="0.25">
      <c r="A55" s="1"/>
      <c r="B55" s="1"/>
      <c r="C55" s="1"/>
      <c r="D55" s="1"/>
      <c r="E55" s="1"/>
      <c r="F55" s="1"/>
      <c r="G55" s="1"/>
      <c r="H55" s="1"/>
      <c r="I55" s="96"/>
      <c r="J55" s="25"/>
      <c r="K55" s="25"/>
      <c r="L55" s="25"/>
      <c r="M55" s="25"/>
      <c r="N55" s="95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</row>
    <row r="56" spans="1:71" x14ac:dyDescent="0.25">
      <c r="A56" s="1"/>
      <c r="B56" s="1"/>
      <c r="C56" s="1"/>
      <c r="D56" s="1"/>
      <c r="E56" s="1"/>
      <c r="F56" s="1"/>
      <c r="G56" s="1"/>
      <c r="H56" s="1"/>
      <c r="I56" s="125"/>
      <c r="J56" s="114"/>
      <c r="K56" s="123" t="s">
        <v>125</v>
      </c>
      <c r="L56" s="123"/>
      <c r="M56" s="123"/>
      <c r="N56" s="124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</row>
    <row r="57" spans="1:71" x14ac:dyDescent="0.25">
      <c r="A57" s="1"/>
      <c r="B57" s="1"/>
      <c r="C57" s="1"/>
      <c r="D57" s="1"/>
      <c r="E57" s="1"/>
      <c r="F57" s="1"/>
      <c r="G57" s="1"/>
      <c r="H57" s="1"/>
      <c r="I57" s="125"/>
      <c r="J57" s="114"/>
      <c r="K57" s="123"/>
      <c r="L57" s="123"/>
      <c r="M57" s="123"/>
      <c r="N57" s="124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</row>
    <row r="58" spans="1:71" x14ac:dyDescent="0.25">
      <c r="A58" s="1"/>
      <c r="B58" s="1"/>
      <c r="C58" s="1"/>
      <c r="D58" s="1"/>
      <c r="E58" s="1"/>
      <c r="F58" s="1"/>
      <c r="G58" s="1"/>
      <c r="H58" s="1"/>
      <c r="I58" s="125"/>
      <c r="J58" s="114"/>
      <c r="K58" s="123"/>
      <c r="L58" s="123"/>
      <c r="M58" s="123"/>
      <c r="N58" s="124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</row>
    <row r="59" spans="1:71" ht="15.75" thickBot="1" x14ac:dyDescent="0.3">
      <c r="A59" s="1"/>
      <c r="B59" s="1"/>
      <c r="C59" s="1"/>
      <c r="D59" s="1"/>
      <c r="E59" s="1"/>
      <c r="F59" s="1"/>
      <c r="G59" s="1"/>
      <c r="H59" s="1"/>
      <c r="I59" s="93"/>
      <c r="J59" s="94"/>
      <c r="K59" s="94"/>
      <c r="L59" s="94"/>
      <c r="M59" s="94"/>
      <c r="N59" s="98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</row>
    <row r="60" spans="1:7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</row>
    <row r="61" spans="1:7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</row>
    <row r="62" spans="1:7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</row>
    <row r="63" spans="1:7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</row>
    <row r="64" spans="1:7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</row>
    <row r="65" spans="1:7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</row>
    <row r="66" spans="1:7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</row>
    <row r="67" spans="1:7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</row>
    <row r="68" spans="1:7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</row>
    <row r="69" spans="1:7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</row>
    <row r="70" spans="1:7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</row>
    <row r="71" spans="1:7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</row>
    <row r="72" spans="1:7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</row>
    <row r="73" spans="1:7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</row>
    <row r="74" spans="1:7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</row>
    <row r="75" spans="1:7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</row>
    <row r="76" spans="1:7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</row>
    <row r="77" spans="1:7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</row>
    <row r="78" spans="1:7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</row>
    <row r="79" spans="1:7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</row>
    <row r="80" spans="1:7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</row>
    <row r="81" spans="1:7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</row>
    <row r="82" spans="1:7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</row>
    <row r="83" spans="1:7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</row>
    <row r="84" spans="1:7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</row>
    <row r="85" spans="1:7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</row>
    <row r="86" spans="1:7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</row>
    <row r="87" spans="1:7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</row>
    <row r="88" spans="1:7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</row>
    <row r="89" spans="1:7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</row>
    <row r="90" spans="1:7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</row>
    <row r="91" spans="1:7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</row>
    <row r="92" spans="1:7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</row>
    <row r="93" spans="1:7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</row>
    <row r="94" spans="1:7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</row>
    <row r="95" spans="1:7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</row>
    <row r="96" spans="1:7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</row>
    <row r="97" spans="1:7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</row>
    <row r="98" spans="1:7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</row>
    <row r="99" spans="1:7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</row>
    <row r="100" spans="1:7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</row>
    <row r="101" spans="1:7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</row>
    <row r="102" spans="1:7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</row>
    <row r="103" spans="1:7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</row>
    <row r="104" spans="1:7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</row>
    <row r="105" spans="1:7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</row>
    <row r="106" spans="1:7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</row>
    <row r="107" spans="1:7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</row>
    <row r="108" spans="1:7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</row>
    <row r="109" spans="1:7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</row>
    <row r="110" spans="1:7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</row>
    <row r="111" spans="1:7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</row>
    <row r="112" spans="1:7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</row>
    <row r="113" spans="1:7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</row>
    <row r="114" spans="1:7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</row>
    <row r="115" spans="1:7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</row>
    <row r="116" spans="1:7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</row>
    <row r="117" spans="1:7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</row>
    <row r="118" spans="1:7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</row>
    <row r="119" spans="1:7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</row>
    <row r="120" spans="1:7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</row>
    <row r="121" spans="1:7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</row>
    <row r="122" spans="1:7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</row>
    <row r="123" spans="1:7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</row>
    <row r="124" spans="1:7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</row>
    <row r="125" spans="1:7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</row>
    <row r="126" spans="1:7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</row>
    <row r="127" spans="1:7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</row>
    <row r="128" spans="1:7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</row>
    <row r="129" spans="1:7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</row>
    <row r="130" spans="1:7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</row>
    <row r="131" spans="1:7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</row>
    <row r="132" spans="1:7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</row>
    <row r="133" spans="1:7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</row>
    <row r="134" spans="1:7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</row>
    <row r="135" spans="1:7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</row>
    <row r="136" spans="1:7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</row>
    <row r="137" spans="1:7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</row>
    <row r="138" spans="1:7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</row>
    <row r="139" spans="1:7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</row>
    <row r="140" spans="1:7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</row>
    <row r="141" spans="1:7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</row>
    <row r="142" spans="1:7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</row>
    <row r="143" spans="1:7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</row>
    <row r="144" spans="1:7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</row>
    <row r="145" spans="1:7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</row>
    <row r="146" spans="1:7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</row>
    <row r="147" spans="1:7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</row>
    <row r="148" spans="1:7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</row>
    <row r="149" spans="1:7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</row>
    <row r="150" spans="1:7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</row>
    <row r="151" spans="1:7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</row>
    <row r="152" spans="1:7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</row>
    <row r="153" spans="1:7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</row>
    <row r="154" spans="1:7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</row>
    <row r="155" spans="1:7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</row>
    <row r="156" spans="1:7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</row>
    <row r="157" spans="1:7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</row>
    <row r="158" spans="1:7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</row>
    <row r="159" spans="1:7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</row>
    <row r="160" spans="1:7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</row>
    <row r="161" spans="1:7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</row>
    <row r="162" spans="1:7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</row>
    <row r="163" spans="1:7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</row>
    <row r="164" spans="1:7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</row>
    <row r="165" spans="1:7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</row>
    <row r="166" spans="1:7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</row>
    <row r="167" spans="1:7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</row>
    <row r="168" spans="1:7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</row>
    <row r="169" spans="1:7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</row>
    <row r="170" spans="1:7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</row>
    <row r="171" spans="1:7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</row>
    <row r="172" spans="1:7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</row>
    <row r="173" spans="1:7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</row>
    <row r="174" spans="1:7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</row>
    <row r="175" spans="1:7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</row>
    <row r="176" spans="1:7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</row>
    <row r="177" spans="1:7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</row>
    <row r="178" spans="1:7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</row>
    <row r="179" spans="1:7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</row>
    <row r="180" spans="1:7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</row>
    <row r="181" spans="1:7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</row>
    <row r="182" spans="1:7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</row>
    <row r="183" spans="1:7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</row>
    <row r="184" spans="1:7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</row>
    <row r="185" spans="1:7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</row>
    <row r="186" spans="1:7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</row>
    <row r="187" spans="1:7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</row>
    <row r="188" spans="1:7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</row>
    <row r="189" spans="1:7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</row>
    <row r="190" spans="1:7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</row>
    <row r="191" spans="1:7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</row>
    <row r="192" spans="1:7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</row>
    <row r="193" spans="1:7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</row>
    <row r="194" spans="1:7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</row>
    <row r="195" spans="1:7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</row>
    <row r="196" spans="1:7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</row>
    <row r="197" spans="1:7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</row>
    <row r="198" spans="1:7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</row>
    <row r="199" spans="1:7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</row>
    <row r="200" spans="1:7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</row>
    <row r="201" spans="1:7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</row>
    <row r="202" spans="1:7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</row>
    <row r="203" spans="1:7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</row>
    <row r="204" spans="1:7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</row>
    <row r="205" spans="1:7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</row>
    <row r="206" spans="1:7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</row>
    <row r="207" spans="1:7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</row>
    <row r="208" spans="1:7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</row>
    <row r="209" spans="1:7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</row>
    <row r="210" spans="1:7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</row>
    <row r="211" spans="1:7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</row>
    <row r="212" spans="1:7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</row>
    <row r="213" spans="1:7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</row>
    <row r="214" spans="1:7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</row>
    <row r="215" spans="1:7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</row>
    <row r="216" spans="1:7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</row>
    <row r="217" spans="1:7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</row>
    <row r="218" spans="1:7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</row>
    <row r="219" spans="1:7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</row>
    <row r="220" spans="1:7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</row>
    <row r="221" spans="1:7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</row>
    <row r="222" spans="1:7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</row>
    <row r="223" spans="1:7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</row>
    <row r="224" spans="1:7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</row>
    <row r="225" spans="1:7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</row>
    <row r="226" spans="1:7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</row>
    <row r="227" spans="1:7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</row>
    <row r="228" spans="1:7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</row>
    <row r="229" spans="1:7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</row>
    <row r="230" spans="1:7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</row>
    <row r="231" spans="1:7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</row>
    <row r="232" spans="1:7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</row>
    <row r="233" spans="1:7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</row>
    <row r="234" spans="1:7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</row>
    <row r="235" spans="1:7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</row>
    <row r="236" spans="1:7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</row>
    <row r="237" spans="1:7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</row>
    <row r="238" spans="1:7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</row>
    <row r="239" spans="1:7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</row>
    <row r="240" spans="1:7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</row>
    <row r="241" spans="1:7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</row>
    <row r="242" spans="1:7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</row>
    <row r="243" spans="1:7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</row>
    <row r="244" spans="1:7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</row>
    <row r="245" spans="1:7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</row>
    <row r="246" spans="1:7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</row>
    <row r="247" spans="1:7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</row>
    <row r="248" spans="1:7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</row>
    <row r="249" spans="1:7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</row>
    <row r="250" spans="1:7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</row>
    <row r="251" spans="1:7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</row>
    <row r="252" spans="1:7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</row>
    <row r="253" spans="1:7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</row>
    <row r="254" spans="1:7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</row>
    <row r="255" spans="1:7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</row>
    <row r="256" spans="1:7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</row>
    <row r="257" spans="1:7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</row>
    <row r="258" spans="1:7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</row>
    <row r="259" spans="1:7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</row>
    <row r="260" spans="1:7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</row>
    <row r="261" spans="1:7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</row>
    <row r="262" spans="1:7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</row>
    <row r="263" spans="1:7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</row>
    <row r="264" spans="1:7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</row>
    <row r="265" spans="1:7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</row>
    <row r="266" spans="1:7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</row>
    <row r="267" spans="1:7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</row>
    <row r="268" spans="1:7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</row>
    <row r="269" spans="1:7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</row>
    <row r="270" spans="1:7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</row>
    <row r="271" spans="1:7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</row>
    <row r="272" spans="1:7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</row>
    <row r="273" spans="1:7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</row>
    <row r="274" spans="1:7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</row>
    <row r="275" spans="1:7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</row>
    <row r="276" spans="1:7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</row>
    <row r="277" spans="1:7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</row>
    <row r="278" spans="1:7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</row>
    <row r="279" spans="1:7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</row>
    <row r="280" spans="1:7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</row>
    <row r="281" spans="1:7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</row>
    <row r="282" spans="1:7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</row>
    <row r="283" spans="1:7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</row>
    <row r="284" spans="1:7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</row>
    <row r="285" spans="1:7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</row>
    <row r="286" spans="1:7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</row>
    <row r="287" spans="1:7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</row>
    <row r="288" spans="1:7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</row>
    <row r="289" spans="1:7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</row>
    <row r="290" spans="1:7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</row>
    <row r="291" spans="1:7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</row>
    <row r="292" spans="1:7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</row>
    <row r="293" spans="1:7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</row>
    <row r="294" spans="1:7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</row>
    <row r="295" spans="1:7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</row>
    <row r="296" spans="1:7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</row>
    <row r="297" spans="1:7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</row>
    <row r="298" spans="1:7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</row>
    <row r="299" spans="1:7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</row>
    <row r="300" spans="1:7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</row>
    <row r="301" spans="1:7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</row>
    <row r="302" spans="1:7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</row>
    <row r="303" spans="1:7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</row>
    <row r="304" spans="1:7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</row>
    <row r="305" spans="1:7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</row>
    <row r="306" spans="1:7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</row>
    <row r="307" spans="1:7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</row>
    <row r="308" spans="1:7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</row>
    <row r="309" spans="1:7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</row>
    <row r="310" spans="1:7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</row>
    <row r="311" spans="1:7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</row>
    <row r="312" spans="1:7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</row>
    <row r="313" spans="1:7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</row>
    <row r="314" spans="1:7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</row>
    <row r="315" spans="1:7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</row>
    <row r="316" spans="1:7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</row>
    <row r="317" spans="1:7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</row>
    <row r="318" spans="1:7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</row>
    <row r="319" spans="1:7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</row>
    <row r="320" spans="1:7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</row>
    <row r="321" spans="1:7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</row>
    <row r="322" spans="1:7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</row>
    <row r="323" spans="1:7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</row>
    <row r="324" spans="1:7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</row>
    <row r="325" spans="1:7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</row>
    <row r="326" spans="1:7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</row>
    <row r="327" spans="1:7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</row>
    <row r="328" spans="1:7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</row>
    <row r="329" spans="1:7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</row>
    <row r="330" spans="1:7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</row>
    <row r="331" spans="1:7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</row>
    <row r="332" spans="1:7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</row>
    <row r="333" spans="1:7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</row>
    <row r="334" spans="1:7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</row>
    <row r="335" spans="1:7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</row>
    <row r="336" spans="1:7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</row>
    <row r="337" spans="1:7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</row>
    <row r="338" spans="1:7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</row>
    <row r="339" spans="1:7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</row>
    <row r="340" spans="1:7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</row>
    <row r="341" spans="1:7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</row>
    <row r="342" spans="1:7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</row>
    <row r="343" spans="1:7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</row>
    <row r="344" spans="1:7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</row>
    <row r="345" spans="1:7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</row>
    <row r="346" spans="1:7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</row>
    <row r="347" spans="1:7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</row>
    <row r="348" spans="1:7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</row>
    <row r="349" spans="1:7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</row>
    <row r="350" spans="1:7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</row>
    <row r="351" spans="1:7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</row>
    <row r="352" spans="1:7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</row>
    <row r="353" spans="1:7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</row>
    <row r="354" spans="1:7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</row>
    <row r="355" spans="1:7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</row>
    <row r="356" spans="1:7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</row>
    <row r="357" spans="1:7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</row>
    <row r="358" spans="1:7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</row>
    <row r="359" spans="1:7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</row>
    <row r="360" spans="1:7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</row>
    <row r="361" spans="1:7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</row>
    <row r="362" spans="1:7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</row>
    <row r="363" spans="1:7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</row>
    <row r="364" spans="1:7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</row>
    <row r="365" spans="1:7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</row>
    <row r="366" spans="1:7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</row>
    <row r="367" spans="1:7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</row>
    <row r="368" spans="1:7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</row>
    <row r="369" spans="1:7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</row>
    <row r="370" spans="1:7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</row>
    <row r="371" spans="1:7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</row>
    <row r="372" spans="1:7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</row>
    <row r="373" spans="1:7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</row>
    <row r="374" spans="1:7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</row>
    <row r="375" spans="1:7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</row>
    <row r="376" spans="1:7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</row>
    <row r="377" spans="1:7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</row>
    <row r="378" spans="1:7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</row>
    <row r="379" spans="1:7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</row>
    <row r="380" spans="1:7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</row>
    <row r="381" spans="1:7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</row>
    <row r="382" spans="1:7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</row>
    <row r="383" spans="1:7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</row>
    <row r="384" spans="1:7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</row>
    <row r="385" spans="1:7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</row>
    <row r="386" spans="1:7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</row>
    <row r="387" spans="1:7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</row>
    <row r="388" spans="1:7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</row>
    <row r="389" spans="1:7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</row>
    <row r="390" spans="1:7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</row>
    <row r="391" spans="1:7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</row>
    <row r="392" spans="1:7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</row>
    <row r="393" spans="1:7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</row>
    <row r="394" spans="1:7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</row>
    <row r="395" spans="1:7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</row>
    <row r="396" spans="1:7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</row>
    <row r="397" spans="1:7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</row>
    <row r="398" spans="1:7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</row>
    <row r="399" spans="1:7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</row>
    <row r="400" spans="1:7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</row>
    <row r="401" spans="1:7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</row>
    <row r="402" spans="1:7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</row>
    <row r="403" spans="1:7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</row>
    <row r="404" spans="1:7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</row>
    <row r="405" spans="1:7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</row>
    <row r="406" spans="1:7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</row>
    <row r="407" spans="1:7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</row>
    <row r="408" spans="1:7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</row>
    <row r="409" spans="1:7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</row>
    <row r="410" spans="1:7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</row>
    <row r="411" spans="1:7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</row>
    <row r="412" spans="1:7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</row>
    <row r="413" spans="1:7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</row>
    <row r="414" spans="1:7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</row>
    <row r="415" spans="1:7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</row>
    <row r="416" spans="1:7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</row>
    <row r="417" spans="1:7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</row>
    <row r="418" spans="1:7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</row>
    <row r="419" spans="1:7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</row>
    <row r="420" spans="1:7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</row>
    <row r="421" spans="1:7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</row>
    <row r="422" spans="1:7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</row>
    <row r="423" spans="1:7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</row>
    <row r="424" spans="1:7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</row>
    <row r="425" spans="1:7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</row>
    <row r="426" spans="1:7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</row>
    <row r="427" spans="1:7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</row>
    <row r="428" spans="1:7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</row>
    <row r="429" spans="1:7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</row>
  </sheetData>
  <mergeCells count="43">
    <mergeCell ref="R28:U30"/>
    <mergeCell ref="P32:Q34"/>
    <mergeCell ref="R32:U34"/>
    <mergeCell ref="P36:Q38"/>
    <mergeCell ref="R36:U38"/>
    <mergeCell ref="P40:Q42"/>
    <mergeCell ref="R40:U42"/>
    <mergeCell ref="P44:Q46"/>
    <mergeCell ref="R44:U46"/>
    <mergeCell ref="I52:J54"/>
    <mergeCell ref="K52:N54"/>
    <mergeCell ref="I56:J58"/>
    <mergeCell ref="K56:N58"/>
    <mergeCell ref="P21:U22"/>
    <mergeCell ref="P24:Q26"/>
    <mergeCell ref="R24:U26"/>
    <mergeCell ref="I44:J46"/>
    <mergeCell ref="K44:N46"/>
    <mergeCell ref="I32:J34"/>
    <mergeCell ref="K32:N34"/>
    <mergeCell ref="I36:J38"/>
    <mergeCell ref="K36:N38"/>
    <mergeCell ref="I40:J42"/>
    <mergeCell ref="K40:N42"/>
    <mergeCell ref="I48:J50"/>
    <mergeCell ref="K48:N50"/>
    <mergeCell ref="I21:N22"/>
    <mergeCell ref="B37:C39"/>
    <mergeCell ref="B21:G22"/>
    <mergeCell ref="A1:V4"/>
    <mergeCell ref="B18:U19"/>
    <mergeCell ref="D28:G31"/>
    <mergeCell ref="D24:G26"/>
    <mergeCell ref="B24:C26"/>
    <mergeCell ref="B33:C35"/>
    <mergeCell ref="D33:G35"/>
    <mergeCell ref="B28:C31"/>
    <mergeCell ref="I24:J26"/>
    <mergeCell ref="K24:N26"/>
    <mergeCell ref="K28:N30"/>
    <mergeCell ref="I28:J30"/>
    <mergeCell ref="D37:G39"/>
    <mergeCell ref="P28:Q3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B544"/>
  <sheetViews>
    <sheetView workbookViewId="0">
      <selection activeCell="D2" sqref="D2:T6"/>
    </sheetView>
  </sheetViews>
  <sheetFormatPr baseColWidth="10" defaultRowHeight="15" x14ac:dyDescent="0.25"/>
  <sheetData>
    <row r="1" spans="1:8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ht="14.25" customHeight="1" x14ac:dyDescent="0.25">
      <c r="A2" s="1"/>
      <c r="B2" s="1"/>
      <c r="C2" s="1"/>
      <c r="D2" s="116" t="s">
        <v>111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ht="14.25" customHeight="1" x14ac:dyDescent="0.25">
      <c r="A3" s="1"/>
      <c r="B3" s="1"/>
      <c r="C3" s="2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ht="15" customHeight="1" x14ac:dyDescent="0.25">
      <c r="A4" s="1"/>
      <c r="B4" s="1"/>
      <c r="C4" s="2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ht="15" customHeight="1" x14ac:dyDescent="0.25">
      <c r="A5" s="1"/>
      <c r="B5" s="1"/>
      <c r="C5" s="2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ht="15" customHeight="1" x14ac:dyDescent="0.25">
      <c r="A6" s="1"/>
      <c r="B6" s="1"/>
      <c r="C6" s="2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ht="15" customHeight="1" x14ac:dyDescent="0.25">
      <c r="A7" s="1"/>
      <c r="B7" s="1"/>
      <c r="C7" s="1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ht="15" customHeight="1" x14ac:dyDescent="0.2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ht="15" customHeight="1" x14ac:dyDescent="0.25">
      <c r="A9" s="1"/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ht="15" customHeight="1" x14ac:dyDescent="0.2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8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8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8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8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8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8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8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</sheetData>
  <mergeCells count="1">
    <mergeCell ref="D2:T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T184"/>
  <sheetViews>
    <sheetView workbookViewId="0">
      <selection activeCell="D2" sqref="D2:T5"/>
    </sheetView>
  </sheetViews>
  <sheetFormatPr baseColWidth="10" defaultRowHeight="15" x14ac:dyDescent="0.25"/>
  <sheetData>
    <row r="1" spans="1:4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46" x14ac:dyDescent="0.25">
      <c r="A2" s="1"/>
      <c r="B2" s="1"/>
      <c r="C2" s="1"/>
      <c r="D2" s="132" t="s">
        <v>106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x14ac:dyDescent="0.25">
      <c r="A3" s="1"/>
      <c r="B3" s="1"/>
      <c r="C3" s="1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x14ac:dyDescent="0.25">
      <c r="A4" s="1"/>
      <c r="B4" s="1"/>
      <c r="C4" s="1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x14ac:dyDescent="0.25">
      <c r="A5" s="1"/>
      <c r="B5" s="1"/>
      <c r="C5" s="1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1:4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4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4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4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4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4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4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4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1:4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1:4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1:4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1:4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1:4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1:4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1:4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1:4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1:4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1:4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1:4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1:4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1:4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1:4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1:4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1:4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1:4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1:4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1:4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1:4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1:4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1:4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1:4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1:4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1:4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</row>
    <row r="99" spans="1:4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</row>
    <row r="100" spans="1:4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</row>
    <row r="101" spans="1:4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1:4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1:4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</row>
    <row r="104" spans="1:4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</row>
    <row r="105" spans="1:4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</row>
    <row r="106" spans="1:4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</row>
    <row r="107" spans="1:4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</row>
    <row r="108" spans="1:4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</row>
    <row r="109" spans="1:4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1:4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1:4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</row>
    <row r="112" spans="1:4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</row>
    <row r="113" spans="1:4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</row>
    <row r="114" spans="1:4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</row>
    <row r="115" spans="1:4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1:4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1:4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</row>
    <row r="118" spans="1:4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</row>
    <row r="119" spans="1:4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</row>
    <row r="120" spans="1:4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</row>
    <row r="121" spans="1:4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</row>
    <row r="122" spans="1:4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</row>
    <row r="123" spans="1:4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</row>
    <row r="124" spans="1:4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</row>
    <row r="125" spans="1:4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</row>
    <row r="126" spans="1:4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</row>
    <row r="127" spans="1:4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</row>
    <row r="128" spans="1:4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</row>
    <row r="129" spans="1:4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</row>
    <row r="130" spans="1:4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</row>
    <row r="131" spans="1:4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</row>
    <row r="132" spans="1:4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</row>
    <row r="133" spans="1:4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</row>
    <row r="134" spans="1:4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</row>
    <row r="135" spans="1:4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</row>
    <row r="136" spans="1:4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</row>
    <row r="137" spans="1:4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</row>
    <row r="138" spans="1:4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</row>
    <row r="139" spans="1:4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</row>
    <row r="140" spans="1:4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</row>
    <row r="141" spans="1:4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</row>
    <row r="142" spans="1:4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</row>
    <row r="143" spans="1:4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</row>
    <row r="144" spans="1:4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</row>
    <row r="145" spans="1:4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</row>
    <row r="146" spans="1:4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</row>
    <row r="147" spans="1:4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</row>
    <row r="148" spans="1:4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</row>
    <row r="149" spans="1:4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</row>
    <row r="150" spans="1:4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</row>
    <row r="151" spans="1:4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</row>
    <row r="152" spans="1:4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</row>
    <row r="153" spans="1:4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</row>
    <row r="154" spans="1:4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</row>
    <row r="155" spans="1:4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</row>
    <row r="156" spans="1:4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</row>
    <row r="157" spans="1:4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</row>
    <row r="158" spans="1:4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</row>
    <row r="159" spans="1:4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</row>
    <row r="160" spans="1:4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</row>
    <row r="161" spans="1:4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</row>
    <row r="162" spans="1:4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</row>
    <row r="163" spans="1:4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</row>
    <row r="164" spans="1:4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</row>
    <row r="165" spans="1:4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</row>
    <row r="166" spans="1:4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</row>
    <row r="167" spans="1:4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</row>
    <row r="168" spans="1:4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</row>
    <row r="169" spans="1:4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</row>
    <row r="170" spans="1:4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1:4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</row>
    <row r="172" spans="1:4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</row>
    <row r="173" spans="1:4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</row>
    <row r="174" spans="1:4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1:4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</row>
    <row r="176" spans="1:4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1:2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1:2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1:2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</row>
    <row r="180" spans="1:2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</row>
    <row r="181" spans="1:22" x14ac:dyDescent="0.25">
      <c r="A181" s="1"/>
      <c r="B181" s="1"/>
      <c r="C181" s="1"/>
    </row>
    <row r="182" spans="1:22" x14ac:dyDescent="0.25">
      <c r="A182" s="1"/>
      <c r="B182" s="1"/>
      <c r="C182" s="1"/>
    </row>
    <row r="183" spans="1:22" x14ac:dyDescent="0.25">
      <c r="A183" s="1"/>
      <c r="B183" s="1"/>
      <c r="C183" s="1"/>
    </row>
    <row r="184" spans="1:22" x14ac:dyDescent="0.25">
      <c r="A184" s="1"/>
      <c r="B184" s="1"/>
      <c r="C184" s="1"/>
    </row>
  </sheetData>
  <mergeCells count="1">
    <mergeCell ref="D2:T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416"/>
  <sheetViews>
    <sheetView topLeftCell="A8" zoomScaleNormal="100" workbookViewId="0">
      <selection activeCell="C17" sqref="C17"/>
    </sheetView>
  </sheetViews>
  <sheetFormatPr baseColWidth="10" defaultRowHeight="15" x14ac:dyDescent="0.25"/>
  <cols>
    <col min="3" max="3" width="45.140625" customWidth="1"/>
    <col min="4" max="4" width="17.140625" customWidth="1"/>
    <col min="5" max="5" width="22.140625" customWidth="1"/>
    <col min="6" max="6" width="21" customWidth="1"/>
    <col min="7" max="7" width="23.5703125" customWidth="1"/>
    <col min="8" max="8" width="22.28515625" customWidth="1"/>
    <col min="11" max="11" width="11.42578125" customWidth="1"/>
    <col min="13" max="13" width="11.85546875" bestFit="1" customWidth="1"/>
  </cols>
  <sheetData>
    <row r="2" spans="3:17" ht="15" customHeight="1" x14ac:dyDescent="0.25">
      <c r="C2" s="133" t="s">
        <v>15</v>
      </c>
      <c r="D2" s="133"/>
      <c r="E2" s="133"/>
      <c r="F2" s="133"/>
      <c r="G2" s="133"/>
      <c r="H2" s="133"/>
      <c r="I2" s="133"/>
      <c r="J2" s="133"/>
      <c r="K2" s="133"/>
      <c r="L2" s="133"/>
      <c r="M2" s="38"/>
      <c r="N2" s="38"/>
      <c r="O2" s="38"/>
      <c r="P2" s="38"/>
      <c r="Q2" s="38"/>
    </row>
    <row r="3" spans="3:17" ht="15" customHeight="1" x14ac:dyDescent="0.25"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38"/>
      <c r="N3" s="38"/>
      <c r="O3" s="38"/>
      <c r="P3" s="38"/>
      <c r="Q3" s="38"/>
    </row>
    <row r="4" spans="3:17" ht="15" customHeight="1" x14ac:dyDescent="0.25"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38"/>
      <c r="N4" s="38"/>
      <c r="O4" s="38"/>
      <c r="P4" s="38"/>
      <c r="Q4" s="38"/>
    </row>
    <row r="5" spans="3:17" ht="15" customHeight="1" x14ac:dyDescent="0.25"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38"/>
      <c r="N5" s="38"/>
      <c r="O5" s="38"/>
      <c r="P5" s="38"/>
      <c r="Q5" s="38"/>
    </row>
    <row r="10" spans="3:17" ht="15" customHeight="1" x14ac:dyDescent="0.25"/>
    <row r="11" spans="3:17" ht="15" customHeight="1" x14ac:dyDescent="0.25">
      <c r="K11" s="36"/>
    </row>
    <row r="12" spans="3:17" ht="18.75" customHeight="1" x14ac:dyDescent="0.25"/>
    <row r="13" spans="3:17" ht="15.75" customHeight="1" x14ac:dyDescent="0.25"/>
    <row r="14" spans="3:17" ht="15.75" x14ac:dyDescent="0.25">
      <c r="C14" s="111" t="s">
        <v>41</v>
      </c>
      <c r="D14" s="112" t="s">
        <v>42</v>
      </c>
      <c r="E14" s="111" t="s">
        <v>43</v>
      </c>
      <c r="F14" s="111" t="s">
        <v>44</v>
      </c>
      <c r="G14" s="111" t="s">
        <v>45</v>
      </c>
      <c r="H14" s="111" t="s">
        <v>70</v>
      </c>
    </row>
    <row r="15" spans="3:17" ht="15.75" x14ac:dyDescent="0.25">
      <c r="C15" s="109"/>
      <c r="D15" s="110"/>
      <c r="E15" s="109"/>
      <c r="F15" s="109"/>
      <c r="G15" s="109"/>
      <c r="H15" s="109"/>
    </row>
    <row r="16" spans="3:17" ht="15" customHeight="1" x14ac:dyDescent="0.25">
      <c r="C16" s="37" t="s">
        <v>46</v>
      </c>
      <c r="D16" s="37" t="s">
        <v>47</v>
      </c>
      <c r="E16" s="37" t="s">
        <v>48</v>
      </c>
      <c r="F16" s="56" t="s">
        <v>67</v>
      </c>
      <c r="G16" s="9" t="s">
        <v>49</v>
      </c>
      <c r="H16" s="84">
        <v>0.02</v>
      </c>
    </row>
    <row r="17" spans="3:8" ht="15" customHeight="1" x14ac:dyDescent="0.25">
      <c r="C17" s="37" t="s">
        <v>50</v>
      </c>
      <c r="D17" s="37" t="s">
        <v>51</v>
      </c>
      <c r="E17" s="37" t="s">
        <v>52</v>
      </c>
      <c r="F17" s="56" t="s">
        <v>67</v>
      </c>
      <c r="G17" s="9" t="s">
        <v>53</v>
      </c>
      <c r="H17" s="84">
        <v>0.03</v>
      </c>
    </row>
    <row r="18" spans="3:8" x14ac:dyDescent="0.25">
      <c r="C18" s="37" t="s">
        <v>54</v>
      </c>
      <c r="D18" s="37" t="s">
        <v>55</v>
      </c>
      <c r="E18" s="37" t="s">
        <v>56</v>
      </c>
      <c r="F18" s="56" t="s">
        <v>68</v>
      </c>
      <c r="G18" s="9" t="s">
        <v>53</v>
      </c>
      <c r="H18" s="84">
        <v>0.03</v>
      </c>
    </row>
    <row r="19" spans="3:8" x14ac:dyDescent="0.25">
      <c r="C19" s="37" t="s">
        <v>57</v>
      </c>
      <c r="D19" s="37" t="s">
        <v>58</v>
      </c>
      <c r="E19" s="37" t="s">
        <v>59</v>
      </c>
      <c r="F19" s="56" t="s">
        <v>68</v>
      </c>
      <c r="G19" s="9" t="s">
        <v>53</v>
      </c>
      <c r="H19" s="84">
        <v>0.03</v>
      </c>
    </row>
    <row r="20" spans="3:8" x14ac:dyDescent="0.25">
      <c r="C20" s="37" t="s">
        <v>60</v>
      </c>
      <c r="D20" s="37" t="s">
        <v>61</v>
      </c>
      <c r="E20" s="37" t="s">
        <v>62</v>
      </c>
      <c r="F20" s="56" t="s">
        <v>69</v>
      </c>
      <c r="G20" s="9" t="s">
        <v>63</v>
      </c>
      <c r="H20" s="84">
        <v>0.03</v>
      </c>
    </row>
    <row r="21" spans="3:8" x14ac:dyDescent="0.25">
      <c r="C21" s="39" t="s">
        <v>64</v>
      </c>
      <c r="D21" s="37" t="s">
        <v>65</v>
      </c>
      <c r="E21" s="37" t="s">
        <v>66</v>
      </c>
      <c r="F21" s="56" t="s">
        <v>69</v>
      </c>
      <c r="G21" s="9" t="s">
        <v>63</v>
      </c>
      <c r="H21" s="84">
        <v>0.03</v>
      </c>
    </row>
    <row r="22" spans="3:8" x14ac:dyDescent="0.25">
      <c r="C22" s="37"/>
      <c r="D22" s="37"/>
      <c r="E22" s="37"/>
      <c r="F22" s="56"/>
      <c r="G22" s="9"/>
      <c r="H22" s="56"/>
    </row>
    <row r="23" spans="3:8" x14ac:dyDescent="0.25">
      <c r="F23" s="57"/>
      <c r="G23" s="53"/>
      <c r="H23" s="57"/>
    </row>
    <row r="24" spans="3:8" x14ac:dyDescent="0.25">
      <c r="C24" s="54"/>
      <c r="D24" s="54"/>
      <c r="E24" s="54"/>
      <c r="F24" s="58"/>
      <c r="G24" s="55"/>
      <c r="H24" s="58"/>
    </row>
    <row r="25" spans="3:8" x14ac:dyDescent="0.25">
      <c r="C25" s="54"/>
      <c r="D25" s="54"/>
      <c r="E25" s="54"/>
      <c r="F25" s="58"/>
      <c r="G25" s="55"/>
      <c r="H25" s="58"/>
    </row>
    <row r="26" spans="3:8" x14ac:dyDescent="0.25">
      <c r="C26" s="54"/>
      <c r="D26" s="54"/>
      <c r="E26" s="54"/>
      <c r="F26" s="58"/>
      <c r="G26" s="55"/>
      <c r="H26" s="58"/>
    </row>
    <row r="27" spans="3:8" x14ac:dyDescent="0.25">
      <c r="C27" s="54"/>
      <c r="D27" s="54"/>
      <c r="E27" s="54"/>
      <c r="F27" s="58"/>
      <c r="G27" s="55"/>
      <c r="H27" s="58"/>
    </row>
    <row r="28" spans="3:8" x14ac:dyDescent="0.25">
      <c r="C28" s="54"/>
      <c r="D28" s="54"/>
      <c r="E28" s="54"/>
      <c r="F28" s="58"/>
      <c r="G28" s="55"/>
      <c r="H28" s="58"/>
    </row>
    <row r="29" spans="3:8" x14ac:dyDescent="0.25">
      <c r="C29" s="54"/>
      <c r="D29" s="54"/>
      <c r="E29" s="54"/>
      <c r="F29" s="58"/>
      <c r="G29" s="55"/>
      <c r="H29" s="58"/>
    </row>
    <row r="30" spans="3:8" x14ac:dyDescent="0.25">
      <c r="C30" s="54"/>
      <c r="D30" s="54"/>
      <c r="E30" s="54"/>
      <c r="F30" s="58"/>
      <c r="G30" s="55"/>
      <c r="H30" s="58"/>
    </row>
    <row r="31" spans="3:8" x14ac:dyDescent="0.25">
      <c r="C31" s="54"/>
      <c r="D31" s="54"/>
      <c r="E31" s="54"/>
      <c r="F31" s="58"/>
      <c r="G31" s="55"/>
      <c r="H31" s="58"/>
    </row>
    <row r="32" spans="3:8" x14ac:dyDescent="0.25">
      <c r="C32" s="54"/>
      <c r="D32" s="54"/>
      <c r="E32" s="54"/>
      <c r="F32" s="58"/>
      <c r="G32" s="55"/>
      <c r="H32" s="58"/>
    </row>
    <row r="33" spans="6:8" x14ac:dyDescent="0.25">
      <c r="F33" s="57"/>
      <c r="G33" s="53"/>
      <c r="H33" s="57"/>
    </row>
    <row r="34" spans="6:8" x14ac:dyDescent="0.25">
      <c r="F34" s="57"/>
      <c r="G34" s="53"/>
      <c r="H34" s="57"/>
    </row>
    <row r="35" spans="6:8" x14ac:dyDescent="0.25">
      <c r="F35" s="57"/>
      <c r="G35" s="53"/>
      <c r="H35" s="57"/>
    </row>
    <row r="36" spans="6:8" x14ac:dyDescent="0.25">
      <c r="F36" s="57"/>
      <c r="G36" s="53"/>
      <c r="H36" s="57"/>
    </row>
    <row r="37" spans="6:8" x14ac:dyDescent="0.25">
      <c r="F37" s="57"/>
      <c r="G37" s="53"/>
      <c r="H37" s="57"/>
    </row>
    <row r="38" spans="6:8" x14ac:dyDescent="0.25">
      <c r="F38" s="57"/>
      <c r="G38" s="53"/>
      <c r="H38" s="57"/>
    </row>
    <row r="39" spans="6:8" x14ac:dyDescent="0.25">
      <c r="F39" s="57"/>
      <c r="G39" s="53"/>
      <c r="H39" s="57"/>
    </row>
    <row r="40" spans="6:8" x14ac:dyDescent="0.25">
      <c r="F40" s="57"/>
      <c r="G40" s="53"/>
      <c r="H40" s="57"/>
    </row>
    <row r="41" spans="6:8" x14ac:dyDescent="0.25">
      <c r="F41" s="57"/>
      <c r="G41" s="53"/>
      <c r="H41" s="57"/>
    </row>
    <row r="42" spans="6:8" x14ac:dyDescent="0.25">
      <c r="F42" s="57"/>
      <c r="G42" s="53"/>
      <c r="H42" s="57"/>
    </row>
    <row r="43" spans="6:8" x14ac:dyDescent="0.25">
      <c r="F43" s="57"/>
      <c r="G43" s="53"/>
      <c r="H43" s="57"/>
    </row>
    <row r="44" spans="6:8" x14ac:dyDescent="0.25">
      <c r="F44" s="57"/>
      <c r="G44" s="53"/>
      <c r="H44" s="57"/>
    </row>
    <row r="45" spans="6:8" x14ac:dyDescent="0.25">
      <c r="F45" s="57"/>
      <c r="G45" s="53"/>
      <c r="H45" s="57"/>
    </row>
    <row r="46" spans="6:8" x14ac:dyDescent="0.25">
      <c r="F46" s="57"/>
      <c r="G46" s="53"/>
      <c r="H46" s="57"/>
    </row>
    <row r="47" spans="6:8" x14ac:dyDescent="0.25">
      <c r="F47" s="57"/>
      <c r="G47" s="53"/>
      <c r="H47" s="57"/>
    </row>
    <row r="48" spans="6:8" x14ac:dyDescent="0.25">
      <c r="F48" s="57"/>
      <c r="G48" s="53"/>
      <c r="H48" s="57"/>
    </row>
    <row r="49" spans="6:8" x14ac:dyDescent="0.25">
      <c r="F49" s="57"/>
      <c r="G49" s="53"/>
      <c r="H49" s="57"/>
    </row>
    <row r="50" spans="6:8" x14ac:dyDescent="0.25">
      <c r="F50" s="57"/>
      <c r="G50" s="53"/>
      <c r="H50" s="57"/>
    </row>
    <row r="51" spans="6:8" x14ac:dyDescent="0.25">
      <c r="F51" s="57"/>
      <c r="G51" s="53"/>
      <c r="H51" s="57"/>
    </row>
    <row r="52" spans="6:8" x14ac:dyDescent="0.25">
      <c r="F52" s="57"/>
      <c r="G52" s="53"/>
      <c r="H52" s="57"/>
    </row>
    <row r="53" spans="6:8" x14ac:dyDescent="0.25">
      <c r="F53" s="57"/>
      <c r="G53" s="53"/>
      <c r="H53" s="57"/>
    </row>
    <row r="54" spans="6:8" x14ac:dyDescent="0.25">
      <c r="F54" s="57"/>
      <c r="G54" s="53"/>
      <c r="H54" s="57"/>
    </row>
    <row r="55" spans="6:8" x14ac:dyDescent="0.25">
      <c r="F55" s="57"/>
      <c r="G55" s="53"/>
      <c r="H55" s="57"/>
    </row>
    <row r="56" spans="6:8" x14ac:dyDescent="0.25">
      <c r="F56" s="57"/>
      <c r="G56" s="53"/>
      <c r="H56" s="57"/>
    </row>
    <row r="57" spans="6:8" x14ac:dyDescent="0.25">
      <c r="F57" s="57"/>
      <c r="G57" s="53"/>
      <c r="H57" s="57"/>
    </row>
    <row r="58" spans="6:8" x14ac:dyDescent="0.25">
      <c r="F58" s="57"/>
      <c r="G58" s="53"/>
      <c r="H58" s="57"/>
    </row>
    <row r="59" spans="6:8" x14ac:dyDescent="0.25">
      <c r="F59" s="57"/>
      <c r="G59" s="53"/>
      <c r="H59" s="57"/>
    </row>
    <row r="60" spans="6:8" x14ac:dyDescent="0.25">
      <c r="F60" s="57"/>
      <c r="G60" s="53"/>
      <c r="H60" s="57"/>
    </row>
    <row r="61" spans="6:8" x14ac:dyDescent="0.25">
      <c r="F61" s="57"/>
      <c r="G61" s="53"/>
      <c r="H61" s="57"/>
    </row>
    <row r="62" spans="6:8" x14ac:dyDescent="0.25">
      <c r="F62" s="57"/>
      <c r="G62" s="53"/>
      <c r="H62" s="57"/>
    </row>
    <row r="63" spans="6:8" x14ac:dyDescent="0.25">
      <c r="F63" s="57"/>
      <c r="G63" s="53"/>
      <c r="H63" s="57"/>
    </row>
    <row r="64" spans="6:8" x14ac:dyDescent="0.25">
      <c r="F64" s="57"/>
      <c r="G64" s="53"/>
      <c r="H64" s="57"/>
    </row>
    <row r="65" spans="6:8" x14ac:dyDescent="0.25">
      <c r="F65" s="57"/>
      <c r="G65" s="53"/>
      <c r="H65" s="57"/>
    </row>
    <row r="66" spans="6:8" x14ac:dyDescent="0.25">
      <c r="F66" s="57"/>
      <c r="G66" s="53"/>
      <c r="H66" s="57"/>
    </row>
    <row r="67" spans="6:8" x14ac:dyDescent="0.25">
      <c r="F67" s="57"/>
      <c r="G67" s="53"/>
      <c r="H67" s="57"/>
    </row>
    <row r="68" spans="6:8" x14ac:dyDescent="0.25">
      <c r="F68" s="57"/>
      <c r="G68" s="53"/>
      <c r="H68" s="57"/>
    </row>
    <row r="69" spans="6:8" x14ac:dyDescent="0.25">
      <c r="F69" s="57"/>
      <c r="G69" s="53"/>
      <c r="H69" s="57"/>
    </row>
    <row r="70" spans="6:8" x14ac:dyDescent="0.25">
      <c r="F70" s="57"/>
      <c r="G70" s="53"/>
      <c r="H70" s="57"/>
    </row>
    <row r="71" spans="6:8" x14ac:dyDescent="0.25">
      <c r="F71" s="57"/>
      <c r="G71" s="53"/>
      <c r="H71" s="57"/>
    </row>
    <row r="72" spans="6:8" x14ac:dyDescent="0.25">
      <c r="F72" s="57"/>
      <c r="G72" s="53"/>
      <c r="H72" s="57"/>
    </row>
    <row r="73" spans="6:8" x14ac:dyDescent="0.25">
      <c r="F73" s="57"/>
      <c r="G73" s="53"/>
      <c r="H73" s="57"/>
    </row>
    <row r="74" spans="6:8" x14ac:dyDescent="0.25">
      <c r="F74" s="57"/>
      <c r="G74" s="53"/>
      <c r="H74" s="57"/>
    </row>
    <row r="75" spans="6:8" x14ac:dyDescent="0.25">
      <c r="F75" s="57"/>
      <c r="G75" s="53"/>
      <c r="H75" s="57"/>
    </row>
    <row r="76" spans="6:8" x14ac:dyDescent="0.25">
      <c r="F76" s="57"/>
      <c r="G76" s="53"/>
      <c r="H76" s="57"/>
    </row>
    <row r="77" spans="6:8" x14ac:dyDescent="0.25">
      <c r="F77" s="57"/>
      <c r="G77" s="53"/>
      <c r="H77" s="57"/>
    </row>
    <row r="78" spans="6:8" x14ac:dyDescent="0.25">
      <c r="F78" s="57"/>
      <c r="G78" s="53"/>
      <c r="H78" s="57"/>
    </row>
    <row r="79" spans="6:8" x14ac:dyDescent="0.25">
      <c r="F79" s="57"/>
      <c r="G79" s="53"/>
      <c r="H79" s="57"/>
    </row>
    <row r="80" spans="6:8" x14ac:dyDescent="0.25">
      <c r="F80" s="57"/>
      <c r="G80" s="53"/>
      <c r="H80" s="57"/>
    </row>
    <row r="81" spans="6:8" x14ac:dyDescent="0.25">
      <c r="F81" s="57"/>
      <c r="G81" s="53"/>
      <c r="H81" s="57"/>
    </row>
    <row r="82" spans="6:8" x14ac:dyDescent="0.25">
      <c r="F82" s="57"/>
      <c r="G82" s="53"/>
      <c r="H82" s="57"/>
    </row>
    <row r="83" spans="6:8" x14ac:dyDescent="0.25">
      <c r="F83" s="57"/>
      <c r="G83" s="53"/>
      <c r="H83" s="57"/>
    </row>
    <row r="84" spans="6:8" x14ac:dyDescent="0.25">
      <c r="F84" s="57"/>
      <c r="G84" s="53"/>
      <c r="H84" s="57"/>
    </row>
    <row r="85" spans="6:8" x14ac:dyDescent="0.25">
      <c r="F85" s="57"/>
      <c r="G85" s="53"/>
      <c r="H85" s="57"/>
    </row>
    <row r="86" spans="6:8" x14ac:dyDescent="0.25">
      <c r="F86" s="57"/>
      <c r="G86" s="53"/>
      <c r="H86" s="57"/>
    </row>
    <row r="87" spans="6:8" x14ac:dyDescent="0.25">
      <c r="F87" s="57"/>
      <c r="G87" s="53"/>
      <c r="H87" s="57"/>
    </row>
    <row r="88" spans="6:8" x14ac:dyDescent="0.25">
      <c r="F88" s="57"/>
      <c r="G88" s="53"/>
      <c r="H88" s="57"/>
    </row>
    <row r="89" spans="6:8" x14ac:dyDescent="0.25">
      <c r="F89" s="57"/>
      <c r="G89" s="53"/>
      <c r="H89" s="57"/>
    </row>
    <row r="90" spans="6:8" x14ac:dyDescent="0.25">
      <c r="F90" s="57"/>
      <c r="G90" s="53"/>
      <c r="H90" s="57"/>
    </row>
    <row r="91" spans="6:8" x14ac:dyDescent="0.25">
      <c r="F91" s="57"/>
      <c r="G91" s="53"/>
      <c r="H91" s="57"/>
    </row>
    <row r="92" spans="6:8" x14ac:dyDescent="0.25">
      <c r="F92" s="57"/>
      <c r="G92" s="53"/>
      <c r="H92" s="57"/>
    </row>
    <row r="93" spans="6:8" x14ac:dyDescent="0.25">
      <c r="F93" s="57"/>
      <c r="G93" s="53"/>
      <c r="H93" s="57"/>
    </row>
    <row r="94" spans="6:8" x14ac:dyDescent="0.25">
      <c r="F94" s="57"/>
      <c r="G94" s="53"/>
      <c r="H94" s="57"/>
    </row>
    <row r="95" spans="6:8" x14ac:dyDescent="0.25">
      <c r="F95" s="57"/>
      <c r="G95" s="53"/>
      <c r="H95" s="57"/>
    </row>
    <row r="96" spans="6:8" x14ac:dyDescent="0.25">
      <c r="F96" s="57"/>
      <c r="G96" s="53"/>
      <c r="H96" s="57"/>
    </row>
    <row r="97" spans="6:8" x14ac:dyDescent="0.25">
      <c r="F97" s="57"/>
      <c r="G97" s="53"/>
      <c r="H97" s="57"/>
    </row>
    <row r="98" spans="6:8" x14ac:dyDescent="0.25">
      <c r="F98" s="57"/>
      <c r="G98" s="53"/>
      <c r="H98" s="57"/>
    </row>
    <row r="99" spans="6:8" x14ac:dyDescent="0.25">
      <c r="F99" s="57"/>
      <c r="G99" s="53"/>
      <c r="H99" s="57"/>
    </row>
    <row r="100" spans="6:8" x14ac:dyDescent="0.25">
      <c r="F100" s="57"/>
      <c r="G100" s="53"/>
      <c r="H100" s="57"/>
    </row>
    <row r="101" spans="6:8" x14ac:dyDescent="0.25">
      <c r="F101" s="57"/>
      <c r="G101" s="53"/>
      <c r="H101" s="57"/>
    </row>
    <row r="102" spans="6:8" x14ac:dyDescent="0.25">
      <c r="F102" s="57"/>
      <c r="G102" s="53"/>
      <c r="H102" s="57"/>
    </row>
    <row r="103" spans="6:8" x14ac:dyDescent="0.25">
      <c r="F103" s="57"/>
      <c r="G103" s="53"/>
      <c r="H103" s="57"/>
    </row>
    <row r="104" spans="6:8" x14ac:dyDescent="0.25">
      <c r="F104" s="57"/>
      <c r="G104" s="53"/>
      <c r="H104" s="57"/>
    </row>
    <row r="105" spans="6:8" x14ac:dyDescent="0.25">
      <c r="F105" s="57"/>
      <c r="G105" s="53"/>
      <c r="H105" s="57"/>
    </row>
    <row r="106" spans="6:8" x14ac:dyDescent="0.25">
      <c r="F106" s="57"/>
      <c r="G106" s="53"/>
      <c r="H106" s="57"/>
    </row>
    <row r="107" spans="6:8" x14ac:dyDescent="0.25">
      <c r="F107" s="57"/>
      <c r="G107" s="53"/>
      <c r="H107" s="57"/>
    </row>
    <row r="108" spans="6:8" x14ac:dyDescent="0.25">
      <c r="F108" s="57"/>
      <c r="G108" s="53"/>
      <c r="H108" s="57"/>
    </row>
    <row r="109" spans="6:8" x14ac:dyDescent="0.25">
      <c r="F109" s="57"/>
      <c r="G109" s="53"/>
      <c r="H109" s="57"/>
    </row>
    <row r="110" spans="6:8" x14ac:dyDescent="0.25">
      <c r="F110" s="57"/>
      <c r="G110" s="53"/>
      <c r="H110" s="57"/>
    </row>
    <row r="111" spans="6:8" x14ac:dyDescent="0.25">
      <c r="F111" s="57"/>
      <c r="G111" s="53"/>
      <c r="H111" s="57"/>
    </row>
    <row r="112" spans="6:8" x14ac:dyDescent="0.25">
      <c r="F112" s="57"/>
      <c r="G112" s="53"/>
      <c r="H112" s="57"/>
    </row>
    <row r="113" spans="6:8" x14ac:dyDescent="0.25">
      <c r="F113" s="57"/>
      <c r="G113" s="53"/>
      <c r="H113" s="57"/>
    </row>
    <row r="114" spans="6:8" x14ac:dyDescent="0.25">
      <c r="F114" s="57"/>
      <c r="G114" s="53"/>
      <c r="H114" s="57"/>
    </row>
    <row r="115" spans="6:8" x14ac:dyDescent="0.25">
      <c r="F115" s="57"/>
      <c r="G115" s="53"/>
      <c r="H115" s="57"/>
    </row>
    <row r="116" spans="6:8" x14ac:dyDescent="0.25">
      <c r="F116" s="57"/>
      <c r="G116" s="53"/>
      <c r="H116" s="57"/>
    </row>
    <row r="117" spans="6:8" x14ac:dyDescent="0.25">
      <c r="F117" s="57"/>
      <c r="G117" s="53"/>
      <c r="H117" s="57"/>
    </row>
    <row r="118" spans="6:8" x14ac:dyDescent="0.25">
      <c r="F118" s="57"/>
      <c r="G118" s="53"/>
      <c r="H118" s="57"/>
    </row>
    <row r="119" spans="6:8" x14ac:dyDescent="0.25">
      <c r="F119" s="57"/>
      <c r="G119" s="53"/>
      <c r="H119" s="57"/>
    </row>
    <row r="120" spans="6:8" x14ac:dyDescent="0.25">
      <c r="F120" s="57"/>
      <c r="G120" s="53"/>
      <c r="H120" s="57"/>
    </row>
    <row r="121" spans="6:8" x14ac:dyDescent="0.25">
      <c r="F121" s="57"/>
      <c r="G121" s="53"/>
      <c r="H121" s="57"/>
    </row>
    <row r="122" spans="6:8" x14ac:dyDescent="0.25">
      <c r="F122" s="57"/>
      <c r="G122" s="53"/>
      <c r="H122" s="57"/>
    </row>
    <row r="123" spans="6:8" x14ac:dyDescent="0.25">
      <c r="F123" s="57"/>
      <c r="G123" s="53"/>
      <c r="H123" s="57"/>
    </row>
    <row r="124" spans="6:8" x14ac:dyDescent="0.25">
      <c r="F124" s="57"/>
      <c r="G124" s="53"/>
      <c r="H124" s="57"/>
    </row>
    <row r="125" spans="6:8" x14ac:dyDescent="0.25">
      <c r="F125" s="57"/>
      <c r="G125" s="53"/>
      <c r="H125" s="57"/>
    </row>
    <row r="126" spans="6:8" x14ac:dyDescent="0.25">
      <c r="F126" s="57"/>
      <c r="G126" s="53"/>
      <c r="H126" s="57"/>
    </row>
    <row r="127" spans="6:8" x14ac:dyDescent="0.25">
      <c r="F127" s="57"/>
      <c r="G127" s="53"/>
      <c r="H127" s="57"/>
    </row>
    <row r="128" spans="6:8" x14ac:dyDescent="0.25">
      <c r="F128" s="57"/>
      <c r="G128" s="53"/>
      <c r="H128" s="57"/>
    </row>
    <row r="129" spans="6:8" x14ac:dyDescent="0.25">
      <c r="F129" s="57"/>
      <c r="G129" s="53"/>
      <c r="H129" s="57"/>
    </row>
    <row r="130" spans="6:8" x14ac:dyDescent="0.25">
      <c r="F130" s="57"/>
      <c r="G130" s="53"/>
      <c r="H130" s="57"/>
    </row>
    <row r="131" spans="6:8" x14ac:dyDescent="0.25">
      <c r="F131" s="57"/>
      <c r="G131" s="53"/>
      <c r="H131" s="57"/>
    </row>
    <row r="132" spans="6:8" x14ac:dyDescent="0.25">
      <c r="F132" s="57"/>
      <c r="G132" s="53"/>
      <c r="H132" s="57"/>
    </row>
    <row r="133" spans="6:8" x14ac:dyDescent="0.25">
      <c r="F133" s="57"/>
      <c r="G133" s="53"/>
      <c r="H133" s="57"/>
    </row>
    <row r="134" spans="6:8" x14ac:dyDescent="0.25">
      <c r="F134" s="57"/>
      <c r="G134" s="53"/>
      <c r="H134" s="57"/>
    </row>
    <row r="135" spans="6:8" x14ac:dyDescent="0.25">
      <c r="F135" s="57"/>
      <c r="G135" s="53"/>
      <c r="H135" s="57"/>
    </row>
    <row r="136" spans="6:8" x14ac:dyDescent="0.25">
      <c r="F136" s="57"/>
      <c r="G136" s="53"/>
      <c r="H136" s="57"/>
    </row>
    <row r="137" spans="6:8" x14ac:dyDescent="0.25">
      <c r="F137" s="57"/>
      <c r="G137" s="53"/>
      <c r="H137" s="57"/>
    </row>
    <row r="138" spans="6:8" x14ac:dyDescent="0.25">
      <c r="F138" s="57"/>
      <c r="G138" s="53"/>
      <c r="H138" s="57"/>
    </row>
    <row r="139" spans="6:8" x14ac:dyDescent="0.25">
      <c r="F139" s="57"/>
      <c r="G139" s="53"/>
      <c r="H139" s="57"/>
    </row>
    <row r="140" spans="6:8" x14ac:dyDescent="0.25">
      <c r="F140" s="57"/>
      <c r="G140" s="53"/>
      <c r="H140" s="57"/>
    </row>
    <row r="141" spans="6:8" x14ac:dyDescent="0.25">
      <c r="F141" s="57"/>
      <c r="G141" s="53"/>
      <c r="H141" s="57"/>
    </row>
    <row r="142" spans="6:8" x14ac:dyDescent="0.25">
      <c r="F142" s="57"/>
      <c r="G142" s="53"/>
      <c r="H142" s="57"/>
    </row>
    <row r="143" spans="6:8" x14ac:dyDescent="0.25">
      <c r="F143" s="57"/>
      <c r="G143" s="53"/>
      <c r="H143" s="57"/>
    </row>
    <row r="144" spans="6:8" x14ac:dyDescent="0.25">
      <c r="F144" s="57"/>
      <c r="G144" s="53"/>
      <c r="H144" s="57"/>
    </row>
    <row r="145" spans="6:8" x14ac:dyDescent="0.25">
      <c r="F145" s="57"/>
      <c r="G145" s="53"/>
      <c r="H145" s="57"/>
    </row>
    <row r="146" spans="6:8" x14ac:dyDescent="0.25">
      <c r="F146" s="57"/>
      <c r="G146" s="53"/>
      <c r="H146" s="57"/>
    </row>
    <row r="147" spans="6:8" x14ac:dyDescent="0.25">
      <c r="F147" s="57"/>
      <c r="G147" s="53"/>
      <c r="H147" s="57"/>
    </row>
    <row r="148" spans="6:8" x14ac:dyDescent="0.25">
      <c r="F148" s="57"/>
      <c r="G148" s="53"/>
      <c r="H148" s="57"/>
    </row>
    <row r="149" spans="6:8" x14ac:dyDescent="0.25">
      <c r="F149" s="57"/>
      <c r="G149" s="53"/>
      <c r="H149" s="57"/>
    </row>
    <row r="150" spans="6:8" x14ac:dyDescent="0.25">
      <c r="F150" s="57"/>
      <c r="G150" s="53"/>
      <c r="H150" s="57"/>
    </row>
    <row r="151" spans="6:8" x14ac:dyDescent="0.25">
      <c r="F151" s="57"/>
      <c r="G151" s="53"/>
      <c r="H151" s="57"/>
    </row>
    <row r="152" spans="6:8" x14ac:dyDescent="0.25">
      <c r="F152" s="57"/>
      <c r="G152" s="53"/>
      <c r="H152" s="57"/>
    </row>
    <row r="153" spans="6:8" x14ac:dyDescent="0.25">
      <c r="F153" s="57"/>
      <c r="G153" s="53"/>
      <c r="H153" s="57"/>
    </row>
    <row r="154" spans="6:8" x14ac:dyDescent="0.25">
      <c r="F154" s="57"/>
      <c r="G154" s="53"/>
      <c r="H154" s="57"/>
    </row>
    <row r="155" spans="6:8" x14ac:dyDescent="0.25">
      <c r="F155" s="57"/>
      <c r="G155" s="53"/>
      <c r="H155" s="57"/>
    </row>
    <row r="156" spans="6:8" x14ac:dyDescent="0.25">
      <c r="F156" s="57"/>
      <c r="G156" s="53"/>
      <c r="H156" s="57"/>
    </row>
    <row r="157" spans="6:8" x14ac:dyDescent="0.25">
      <c r="F157" s="57"/>
      <c r="G157" s="53"/>
      <c r="H157" s="57"/>
    </row>
    <row r="158" spans="6:8" x14ac:dyDescent="0.25">
      <c r="F158" s="57"/>
      <c r="G158" s="53"/>
      <c r="H158" s="57"/>
    </row>
    <row r="159" spans="6:8" x14ac:dyDescent="0.25">
      <c r="F159" s="57"/>
      <c r="G159" s="53"/>
      <c r="H159" s="57"/>
    </row>
    <row r="160" spans="6:8" x14ac:dyDescent="0.25">
      <c r="F160" s="57"/>
      <c r="G160" s="53"/>
      <c r="H160" s="57"/>
    </row>
    <row r="161" spans="6:8" x14ac:dyDescent="0.25">
      <c r="F161" s="57"/>
      <c r="G161" s="53"/>
      <c r="H161" s="57"/>
    </row>
    <row r="162" spans="6:8" x14ac:dyDescent="0.25">
      <c r="F162" s="57"/>
      <c r="G162" s="53"/>
      <c r="H162" s="57"/>
    </row>
    <row r="163" spans="6:8" x14ac:dyDescent="0.25">
      <c r="F163" s="57"/>
      <c r="G163" s="53"/>
      <c r="H163" s="57"/>
    </row>
    <row r="164" spans="6:8" x14ac:dyDescent="0.25">
      <c r="F164" s="57"/>
      <c r="G164" s="53"/>
      <c r="H164" s="57"/>
    </row>
    <row r="165" spans="6:8" x14ac:dyDescent="0.25">
      <c r="F165" s="57"/>
      <c r="G165" s="53"/>
      <c r="H165" s="57"/>
    </row>
    <row r="166" spans="6:8" x14ac:dyDescent="0.25">
      <c r="F166" s="57"/>
      <c r="G166" s="53"/>
      <c r="H166" s="57"/>
    </row>
    <row r="167" spans="6:8" x14ac:dyDescent="0.25">
      <c r="F167" s="57"/>
      <c r="G167" s="53"/>
      <c r="H167" s="57"/>
    </row>
    <row r="168" spans="6:8" x14ac:dyDescent="0.25">
      <c r="F168" s="57"/>
      <c r="G168" s="53"/>
      <c r="H168" s="57"/>
    </row>
    <row r="169" spans="6:8" x14ac:dyDescent="0.25">
      <c r="F169" s="57"/>
      <c r="G169" s="53"/>
      <c r="H169" s="57"/>
    </row>
    <row r="170" spans="6:8" x14ac:dyDescent="0.25">
      <c r="F170" s="57"/>
      <c r="G170" s="53"/>
      <c r="H170" s="57"/>
    </row>
    <row r="171" spans="6:8" x14ac:dyDescent="0.25">
      <c r="F171" s="57"/>
      <c r="G171" s="53"/>
      <c r="H171" s="57"/>
    </row>
    <row r="172" spans="6:8" x14ac:dyDescent="0.25">
      <c r="F172" s="57"/>
      <c r="G172" s="53"/>
      <c r="H172" s="57"/>
    </row>
    <row r="173" spans="6:8" x14ac:dyDescent="0.25">
      <c r="F173" s="57"/>
      <c r="G173" s="53"/>
      <c r="H173" s="57"/>
    </row>
    <row r="174" spans="6:8" x14ac:dyDescent="0.25">
      <c r="F174" s="57"/>
      <c r="G174" s="53"/>
      <c r="H174" s="57"/>
    </row>
    <row r="175" spans="6:8" x14ac:dyDescent="0.25">
      <c r="F175" s="57"/>
      <c r="G175" s="53"/>
      <c r="H175" s="57"/>
    </row>
    <row r="176" spans="6:8" x14ac:dyDescent="0.25">
      <c r="F176" s="57"/>
      <c r="G176" s="53"/>
      <c r="H176" s="57"/>
    </row>
    <row r="177" spans="6:8" x14ac:dyDescent="0.25">
      <c r="F177" s="57"/>
      <c r="G177" s="53"/>
      <c r="H177" s="57"/>
    </row>
    <row r="178" spans="6:8" x14ac:dyDescent="0.25">
      <c r="F178" s="57"/>
      <c r="G178" s="53"/>
      <c r="H178" s="57"/>
    </row>
    <row r="179" spans="6:8" x14ac:dyDescent="0.25">
      <c r="F179" s="57"/>
      <c r="G179" s="53"/>
      <c r="H179" s="57"/>
    </row>
    <row r="180" spans="6:8" x14ac:dyDescent="0.25">
      <c r="F180" s="57"/>
      <c r="G180" s="53"/>
      <c r="H180" s="57"/>
    </row>
    <row r="181" spans="6:8" x14ac:dyDescent="0.25">
      <c r="F181" s="57"/>
      <c r="G181" s="53"/>
      <c r="H181" s="57"/>
    </row>
    <row r="182" spans="6:8" x14ac:dyDescent="0.25">
      <c r="F182" s="57"/>
      <c r="G182" s="53"/>
      <c r="H182" s="57"/>
    </row>
    <row r="183" spans="6:8" x14ac:dyDescent="0.25">
      <c r="F183" s="57"/>
      <c r="G183" s="53"/>
      <c r="H183" s="57"/>
    </row>
    <row r="184" spans="6:8" x14ac:dyDescent="0.25">
      <c r="F184" s="57"/>
      <c r="G184" s="53"/>
      <c r="H184" s="57"/>
    </row>
    <row r="185" spans="6:8" x14ac:dyDescent="0.25">
      <c r="F185" s="57"/>
      <c r="G185" s="53"/>
      <c r="H185" s="57"/>
    </row>
    <row r="186" spans="6:8" x14ac:dyDescent="0.25">
      <c r="F186" s="57"/>
      <c r="G186" s="53"/>
      <c r="H186" s="57"/>
    </row>
    <row r="187" spans="6:8" x14ac:dyDescent="0.25">
      <c r="F187" s="57"/>
      <c r="G187" s="53"/>
      <c r="H187" s="57"/>
    </row>
    <row r="188" spans="6:8" x14ac:dyDescent="0.25">
      <c r="F188" s="57"/>
      <c r="G188" s="53"/>
      <c r="H188" s="57"/>
    </row>
    <row r="189" spans="6:8" x14ac:dyDescent="0.25">
      <c r="F189" s="57"/>
      <c r="G189" s="53"/>
      <c r="H189" s="57"/>
    </row>
    <row r="190" spans="6:8" x14ac:dyDescent="0.25">
      <c r="F190" s="57"/>
      <c r="G190" s="53"/>
      <c r="H190" s="57"/>
    </row>
    <row r="191" spans="6:8" x14ac:dyDescent="0.25">
      <c r="F191" s="57"/>
      <c r="G191" s="53"/>
      <c r="H191" s="57"/>
    </row>
    <row r="192" spans="6:8" x14ac:dyDescent="0.25">
      <c r="F192" s="57"/>
      <c r="G192" s="53"/>
      <c r="H192" s="57"/>
    </row>
    <row r="193" spans="6:8" x14ac:dyDescent="0.25">
      <c r="F193" s="57"/>
      <c r="G193" s="53"/>
      <c r="H193" s="57"/>
    </row>
    <row r="194" spans="6:8" x14ac:dyDescent="0.25">
      <c r="F194" s="57"/>
      <c r="G194" s="53"/>
      <c r="H194" s="57"/>
    </row>
    <row r="195" spans="6:8" x14ac:dyDescent="0.25">
      <c r="F195" s="57"/>
      <c r="G195" s="53"/>
      <c r="H195" s="57"/>
    </row>
    <row r="196" spans="6:8" x14ac:dyDescent="0.25">
      <c r="F196" s="57"/>
      <c r="G196" s="53"/>
      <c r="H196" s="57"/>
    </row>
    <row r="197" spans="6:8" x14ac:dyDescent="0.25">
      <c r="F197" s="57"/>
      <c r="G197" s="53"/>
      <c r="H197" s="57"/>
    </row>
    <row r="198" spans="6:8" x14ac:dyDescent="0.25">
      <c r="F198" s="57"/>
      <c r="G198" s="53"/>
      <c r="H198" s="57"/>
    </row>
    <row r="199" spans="6:8" x14ac:dyDescent="0.25">
      <c r="F199" s="57"/>
      <c r="G199" s="53"/>
      <c r="H199" s="57"/>
    </row>
    <row r="200" spans="6:8" x14ac:dyDescent="0.25">
      <c r="F200" s="57"/>
      <c r="G200" s="53"/>
      <c r="H200" s="57"/>
    </row>
    <row r="201" spans="6:8" x14ac:dyDescent="0.25">
      <c r="F201" s="57"/>
      <c r="G201" s="53"/>
      <c r="H201" s="57"/>
    </row>
    <row r="202" spans="6:8" x14ac:dyDescent="0.25">
      <c r="F202" s="57"/>
      <c r="G202" s="53"/>
      <c r="H202" s="57"/>
    </row>
    <row r="203" spans="6:8" x14ac:dyDescent="0.25">
      <c r="F203" s="57"/>
      <c r="G203" s="53"/>
      <c r="H203" s="57"/>
    </row>
    <row r="204" spans="6:8" x14ac:dyDescent="0.25">
      <c r="F204" s="57"/>
      <c r="G204" s="53"/>
      <c r="H204" s="57"/>
    </row>
    <row r="205" spans="6:8" x14ac:dyDescent="0.25">
      <c r="F205" s="57"/>
      <c r="G205" s="53"/>
      <c r="H205" s="57"/>
    </row>
    <row r="206" spans="6:8" x14ac:dyDescent="0.25">
      <c r="F206" s="57"/>
      <c r="G206" s="53"/>
      <c r="H206" s="57"/>
    </row>
    <row r="207" spans="6:8" x14ac:dyDescent="0.25">
      <c r="F207" s="57"/>
      <c r="G207" s="53"/>
      <c r="H207" s="57"/>
    </row>
    <row r="208" spans="6:8" x14ac:dyDescent="0.25">
      <c r="F208" s="57"/>
      <c r="G208" s="53"/>
      <c r="H208" s="57"/>
    </row>
    <row r="209" spans="6:8" x14ac:dyDescent="0.25">
      <c r="F209" s="57"/>
      <c r="G209" s="53"/>
      <c r="H209" s="57"/>
    </row>
    <row r="210" spans="6:8" x14ac:dyDescent="0.25">
      <c r="F210" s="57"/>
      <c r="G210" s="53"/>
      <c r="H210" s="57"/>
    </row>
    <row r="211" spans="6:8" x14ac:dyDescent="0.25">
      <c r="F211" s="57"/>
      <c r="G211" s="53"/>
      <c r="H211" s="57"/>
    </row>
    <row r="212" spans="6:8" x14ac:dyDescent="0.25">
      <c r="F212" s="57"/>
      <c r="G212" s="53"/>
      <c r="H212" s="57"/>
    </row>
    <row r="213" spans="6:8" x14ac:dyDescent="0.25">
      <c r="F213" s="57"/>
      <c r="G213" s="53"/>
      <c r="H213" s="57"/>
    </row>
    <row r="214" spans="6:8" x14ac:dyDescent="0.25">
      <c r="F214" s="57"/>
      <c r="G214" s="53"/>
      <c r="H214" s="57"/>
    </row>
    <row r="215" spans="6:8" x14ac:dyDescent="0.25">
      <c r="F215" s="57"/>
      <c r="G215" s="53"/>
      <c r="H215" s="57"/>
    </row>
    <row r="216" spans="6:8" x14ac:dyDescent="0.25">
      <c r="F216" s="57"/>
      <c r="G216" s="53"/>
      <c r="H216" s="57"/>
    </row>
    <row r="217" spans="6:8" x14ac:dyDescent="0.25">
      <c r="F217" s="57"/>
      <c r="G217" s="53"/>
      <c r="H217" s="57"/>
    </row>
    <row r="218" spans="6:8" x14ac:dyDescent="0.25">
      <c r="F218" s="57"/>
      <c r="G218" s="53"/>
      <c r="H218" s="57"/>
    </row>
    <row r="219" spans="6:8" x14ac:dyDescent="0.25">
      <c r="F219" s="57"/>
      <c r="G219" s="53"/>
      <c r="H219" s="57"/>
    </row>
    <row r="220" spans="6:8" x14ac:dyDescent="0.25">
      <c r="F220" s="57"/>
      <c r="G220" s="53"/>
      <c r="H220" s="57"/>
    </row>
    <row r="221" spans="6:8" x14ac:dyDescent="0.25">
      <c r="F221" s="57"/>
      <c r="G221" s="53"/>
      <c r="H221" s="57"/>
    </row>
    <row r="222" spans="6:8" x14ac:dyDescent="0.25">
      <c r="F222" s="57"/>
      <c r="G222" s="53"/>
      <c r="H222" s="57"/>
    </row>
    <row r="223" spans="6:8" x14ac:dyDescent="0.25">
      <c r="F223" s="57"/>
      <c r="G223" s="53"/>
      <c r="H223" s="57"/>
    </row>
    <row r="224" spans="6:8" x14ac:dyDescent="0.25">
      <c r="F224" s="57"/>
      <c r="G224" s="53"/>
      <c r="H224" s="57"/>
    </row>
    <row r="225" spans="6:8" x14ac:dyDescent="0.25">
      <c r="F225" s="57"/>
      <c r="G225" s="53"/>
      <c r="H225" s="57"/>
    </row>
    <row r="226" spans="6:8" x14ac:dyDescent="0.25">
      <c r="F226" s="57"/>
      <c r="G226" s="53"/>
      <c r="H226" s="57"/>
    </row>
    <row r="227" spans="6:8" x14ac:dyDescent="0.25">
      <c r="F227" s="57"/>
      <c r="G227" s="53"/>
      <c r="H227" s="57"/>
    </row>
    <row r="228" spans="6:8" x14ac:dyDescent="0.25">
      <c r="F228" s="57"/>
      <c r="G228" s="53"/>
      <c r="H228" s="57"/>
    </row>
    <row r="229" spans="6:8" x14ac:dyDescent="0.25">
      <c r="F229" s="57"/>
      <c r="G229" s="53"/>
      <c r="H229" s="57"/>
    </row>
    <row r="230" spans="6:8" x14ac:dyDescent="0.25">
      <c r="F230" s="57"/>
      <c r="G230" s="53"/>
      <c r="H230" s="57"/>
    </row>
    <row r="231" spans="6:8" x14ac:dyDescent="0.25">
      <c r="F231" s="57"/>
      <c r="G231" s="53"/>
      <c r="H231" s="57"/>
    </row>
    <row r="232" spans="6:8" x14ac:dyDescent="0.25">
      <c r="F232" s="57"/>
      <c r="G232" s="53"/>
      <c r="H232" s="57"/>
    </row>
    <row r="233" spans="6:8" x14ac:dyDescent="0.25">
      <c r="F233" s="57"/>
      <c r="G233" s="53"/>
      <c r="H233" s="57"/>
    </row>
    <row r="234" spans="6:8" x14ac:dyDescent="0.25">
      <c r="F234" s="57"/>
      <c r="G234" s="53"/>
      <c r="H234" s="57"/>
    </row>
    <row r="235" spans="6:8" x14ac:dyDescent="0.25">
      <c r="F235" s="57"/>
      <c r="G235" s="53"/>
      <c r="H235" s="57"/>
    </row>
    <row r="236" spans="6:8" x14ac:dyDescent="0.25">
      <c r="F236" s="57"/>
      <c r="G236" s="53"/>
      <c r="H236" s="57"/>
    </row>
    <row r="237" spans="6:8" x14ac:dyDescent="0.25">
      <c r="F237" s="57"/>
      <c r="G237" s="53"/>
      <c r="H237" s="57"/>
    </row>
    <row r="238" spans="6:8" x14ac:dyDescent="0.25">
      <c r="F238" s="57"/>
      <c r="G238" s="53"/>
      <c r="H238" s="57"/>
    </row>
    <row r="239" spans="6:8" x14ac:dyDescent="0.25">
      <c r="F239" s="57"/>
      <c r="G239" s="53"/>
      <c r="H239" s="57"/>
    </row>
    <row r="240" spans="6:8" x14ac:dyDescent="0.25">
      <c r="F240" s="57"/>
      <c r="G240" s="53"/>
      <c r="H240" s="57"/>
    </row>
    <row r="241" spans="6:8" x14ac:dyDescent="0.25">
      <c r="F241" s="57"/>
      <c r="G241" s="53"/>
      <c r="H241" s="57"/>
    </row>
    <row r="242" spans="6:8" x14ac:dyDescent="0.25">
      <c r="F242" s="57"/>
      <c r="G242" s="53"/>
      <c r="H242" s="57"/>
    </row>
    <row r="243" spans="6:8" x14ac:dyDescent="0.25">
      <c r="F243" s="57"/>
      <c r="G243" s="53"/>
      <c r="H243" s="57"/>
    </row>
    <row r="244" spans="6:8" x14ac:dyDescent="0.25">
      <c r="F244" s="57"/>
      <c r="G244" s="53"/>
      <c r="H244" s="57"/>
    </row>
    <row r="245" spans="6:8" x14ac:dyDescent="0.25">
      <c r="F245" s="57"/>
      <c r="G245" s="53"/>
      <c r="H245" s="57"/>
    </row>
    <row r="246" spans="6:8" x14ac:dyDescent="0.25">
      <c r="F246" s="57"/>
      <c r="G246" s="53"/>
      <c r="H246" s="57"/>
    </row>
    <row r="247" spans="6:8" x14ac:dyDescent="0.25">
      <c r="F247" s="57"/>
      <c r="G247" s="53"/>
      <c r="H247" s="57"/>
    </row>
    <row r="248" spans="6:8" x14ac:dyDescent="0.25">
      <c r="F248" s="57"/>
      <c r="G248" s="53"/>
      <c r="H248" s="57"/>
    </row>
    <row r="249" spans="6:8" x14ac:dyDescent="0.25">
      <c r="F249" s="57"/>
      <c r="G249" s="53"/>
      <c r="H249" s="57"/>
    </row>
    <row r="250" spans="6:8" x14ac:dyDescent="0.25">
      <c r="F250" s="57"/>
      <c r="G250" s="53"/>
      <c r="H250" s="57"/>
    </row>
    <row r="251" spans="6:8" x14ac:dyDescent="0.25">
      <c r="F251" s="57"/>
      <c r="G251" s="53"/>
      <c r="H251" s="57"/>
    </row>
    <row r="252" spans="6:8" x14ac:dyDescent="0.25">
      <c r="F252" s="57"/>
      <c r="G252" s="53"/>
      <c r="H252" s="57"/>
    </row>
    <row r="253" spans="6:8" x14ac:dyDescent="0.25">
      <c r="F253" s="57"/>
      <c r="G253" s="53"/>
      <c r="H253" s="57"/>
    </row>
    <row r="254" spans="6:8" x14ac:dyDescent="0.25">
      <c r="F254" s="57"/>
      <c r="G254" s="53"/>
      <c r="H254" s="57"/>
    </row>
    <row r="255" spans="6:8" x14ac:dyDescent="0.25">
      <c r="F255" s="57"/>
      <c r="G255" s="53"/>
      <c r="H255" s="57"/>
    </row>
    <row r="256" spans="6:8" x14ac:dyDescent="0.25">
      <c r="F256" s="57"/>
      <c r="G256" s="53"/>
      <c r="H256" s="57"/>
    </row>
    <row r="257" spans="6:8" x14ac:dyDescent="0.25">
      <c r="F257" s="57"/>
      <c r="G257" s="53"/>
      <c r="H257" s="57"/>
    </row>
    <row r="258" spans="6:8" x14ac:dyDescent="0.25">
      <c r="F258" s="57"/>
      <c r="G258" s="53"/>
      <c r="H258" s="57"/>
    </row>
    <row r="259" spans="6:8" x14ac:dyDescent="0.25">
      <c r="F259" s="57"/>
      <c r="G259" s="53"/>
      <c r="H259" s="57"/>
    </row>
    <row r="260" spans="6:8" x14ac:dyDescent="0.25">
      <c r="F260" s="57"/>
      <c r="G260" s="53"/>
      <c r="H260" s="57"/>
    </row>
    <row r="261" spans="6:8" x14ac:dyDescent="0.25">
      <c r="F261" s="57"/>
      <c r="G261" s="53"/>
      <c r="H261" s="57"/>
    </row>
    <row r="262" spans="6:8" x14ac:dyDescent="0.25">
      <c r="F262" s="57"/>
      <c r="G262" s="53"/>
      <c r="H262" s="57"/>
    </row>
    <row r="263" spans="6:8" x14ac:dyDescent="0.25">
      <c r="F263" s="57"/>
      <c r="G263" s="53"/>
      <c r="H263" s="57"/>
    </row>
    <row r="264" spans="6:8" x14ac:dyDescent="0.25">
      <c r="F264" s="57"/>
      <c r="G264" s="53"/>
      <c r="H264" s="57"/>
    </row>
    <row r="265" spans="6:8" x14ac:dyDescent="0.25">
      <c r="F265" s="57"/>
      <c r="G265" s="53"/>
      <c r="H265" s="57"/>
    </row>
    <row r="266" spans="6:8" x14ac:dyDescent="0.25">
      <c r="F266" s="57"/>
      <c r="G266" s="53"/>
      <c r="H266" s="57"/>
    </row>
    <row r="267" spans="6:8" x14ac:dyDescent="0.25">
      <c r="F267" s="57"/>
      <c r="G267" s="53"/>
      <c r="H267" s="57"/>
    </row>
    <row r="268" spans="6:8" x14ac:dyDescent="0.25">
      <c r="F268" s="57"/>
      <c r="G268" s="53"/>
      <c r="H268" s="57"/>
    </row>
    <row r="269" spans="6:8" x14ac:dyDescent="0.25">
      <c r="F269" s="57"/>
      <c r="G269" s="53"/>
      <c r="H269" s="57"/>
    </row>
    <row r="270" spans="6:8" x14ac:dyDescent="0.25">
      <c r="F270" s="57"/>
      <c r="G270" s="53"/>
      <c r="H270" s="57"/>
    </row>
    <row r="271" spans="6:8" x14ac:dyDescent="0.25">
      <c r="F271" s="57"/>
      <c r="G271" s="53"/>
      <c r="H271" s="57"/>
    </row>
    <row r="272" spans="6:8" x14ac:dyDescent="0.25">
      <c r="F272" s="57"/>
      <c r="G272" s="53"/>
      <c r="H272" s="57"/>
    </row>
    <row r="273" spans="6:8" x14ac:dyDescent="0.25">
      <c r="F273" s="57"/>
      <c r="G273" s="53"/>
      <c r="H273" s="57"/>
    </row>
    <row r="274" spans="6:8" x14ac:dyDescent="0.25">
      <c r="F274" s="57"/>
      <c r="G274" s="53"/>
      <c r="H274" s="57"/>
    </row>
    <row r="275" spans="6:8" x14ac:dyDescent="0.25">
      <c r="F275" s="57"/>
      <c r="G275" s="53"/>
      <c r="H275" s="57"/>
    </row>
    <row r="276" spans="6:8" x14ac:dyDescent="0.25">
      <c r="F276" s="57"/>
      <c r="G276" s="53"/>
      <c r="H276" s="57"/>
    </row>
    <row r="277" spans="6:8" x14ac:dyDescent="0.25">
      <c r="F277" s="57"/>
      <c r="G277" s="53"/>
      <c r="H277" s="57"/>
    </row>
    <row r="278" spans="6:8" x14ac:dyDescent="0.25">
      <c r="F278" s="57"/>
      <c r="G278" s="53"/>
      <c r="H278" s="57"/>
    </row>
    <row r="279" spans="6:8" x14ac:dyDescent="0.25">
      <c r="F279" s="57"/>
      <c r="G279" s="53"/>
      <c r="H279" s="57"/>
    </row>
    <row r="280" spans="6:8" x14ac:dyDescent="0.25">
      <c r="F280" s="57"/>
      <c r="G280" s="53"/>
      <c r="H280" s="57"/>
    </row>
    <row r="281" spans="6:8" x14ac:dyDescent="0.25">
      <c r="F281" s="57"/>
      <c r="G281" s="53"/>
      <c r="H281" s="57"/>
    </row>
    <row r="282" spans="6:8" x14ac:dyDescent="0.25">
      <c r="F282" s="57"/>
      <c r="G282" s="53"/>
      <c r="H282" s="57"/>
    </row>
    <row r="283" spans="6:8" x14ac:dyDescent="0.25">
      <c r="F283" s="57"/>
      <c r="G283" s="53"/>
      <c r="H283" s="57"/>
    </row>
    <row r="284" spans="6:8" x14ac:dyDescent="0.25">
      <c r="F284" s="57"/>
      <c r="G284" s="53"/>
      <c r="H284" s="57"/>
    </row>
    <row r="285" spans="6:8" x14ac:dyDescent="0.25">
      <c r="F285" s="57"/>
      <c r="G285" s="53"/>
      <c r="H285" s="57"/>
    </row>
    <row r="286" spans="6:8" x14ac:dyDescent="0.25">
      <c r="F286" s="57"/>
      <c r="G286" s="53"/>
      <c r="H286" s="57"/>
    </row>
    <row r="287" spans="6:8" x14ac:dyDescent="0.25">
      <c r="F287" s="57"/>
      <c r="G287" s="53"/>
      <c r="H287" s="57"/>
    </row>
    <row r="288" spans="6:8" x14ac:dyDescent="0.25">
      <c r="F288" s="57"/>
      <c r="G288" s="53"/>
      <c r="H288" s="57"/>
    </row>
    <row r="289" spans="6:8" x14ac:dyDescent="0.25">
      <c r="F289" s="57"/>
      <c r="G289" s="53"/>
      <c r="H289" s="57"/>
    </row>
    <row r="290" spans="6:8" x14ac:dyDescent="0.25">
      <c r="F290" s="57"/>
      <c r="G290" s="53"/>
      <c r="H290" s="57"/>
    </row>
    <row r="291" spans="6:8" x14ac:dyDescent="0.25">
      <c r="F291" s="57"/>
      <c r="G291" s="53"/>
      <c r="H291" s="57"/>
    </row>
    <row r="292" spans="6:8" x14ac:dyDescent="0.25">
      <c r="F292" s="57"/>
      <c r="G292" s="53"/>
      <c r="H292" s="57"/>
    </row>
    <row r="293" spans="6:8" x14ac:dyDescent="0.25">
      <c r="F293" s="57"/>
      <c r="G293" s="53"/>
      <c r="H293" s="57"/>
    </row>
    <row r="294" spans="6:8" x14ac:dyDescent="0.25">
      <c r="F294" s="57"/>
      <c r="G294" s="53"/>
      <c r="H294" s="57"/>
    </row>
    <row r="295" spans="6:8" x14ac:dyDescent="0.25">
      <c r="F295" s="57"/>
      <c r="G295" s="53"/>
      <c r="H295" s="57"/>
    </row>
    <row r="296" spans="6:8" x14ac:dyDescent="0.25">
      <c r="F296" s="57"/>
      <c r="G296" s="53"/>
      <c r="H296" s="57"/>
    </row>
    <row r="297" spans="6:8" x14ac:dyDescent="0.25">
      <c r="F297" s="57"/>
      <c r="G297" s="53"/>
      <c r="H297" s="57"/>
    </row>
    <row r="298" spans="6:8" x14ac:dyDescent="0.25">
      <c r="F298" s="57"/>
      <c r="G298" s="53"/>
      <c r="H298" s="57"/>
    </row>
    <row r="299" spans="6:8" x14ac:dyDescent="0.25">
      <c r="F299" s="57"/>
      <c r="G299" s="53"/>
      <c r="H299" s="57"/>
    </row>
    <row r="300" spans="6:8" x14ac:dyDescent="0.25">
      <c r="F300" s="57"/>
      <c r="G300" s="53"/>
      <c r="H300" s="57"/>
    </row>
    <row r="301" spans="6:8" x14ac:dyDescent="0.25">
      <c r="F301" s="57"/>
      <c r="G301" s="53"/>
      <c r="H301" s="57"/>
    </row>
    <row r="302" spans="6:8" x14ac:dyDescent="0.25">
      <c r="F302" s="57"/>
      <c r="G302" s="53"/>
      <c r="H302" s="57"/>
    </row>
    <row r="303" spans="6:8" x14ac:dyDescent="0.25">
      <c r="F303" s="57"/>
      <c r="G303" s="53"/>
      <c r="H303" s="57"/>
    </row>
    <row r="304" spans="6:8" x14ac:dyDescent="0.25">
      <c r="F304" s="57"/>
      <c r="G304" s="53"/>
      <c r="H304" s="57"/>
    </row>
    <row r="305" spans="6:8" x14ac:dyDescent="0.25">
      <c r="F305" s="57"/>
      <c r="G305" s="53"/>
      <c r="H305" s="57"/>
    </row>
    <row r="306" spans="6:8" x14ac:dyDescent="0.25">
      <c r="F306" s="57"/>
      <c r="G306" s="53"/>
      <c r="H306" s="57"/>
    </row>
    <row r="307" spans="6:8" x14ac:dyDescent="0.25">
      <c r="F307" s="57"/>
      <c r="G307" s="53"/>
      <c r="H307" s="57"/>
    </row>
    <row r="308" spans="6:8" x14ac:dyDescent="0.25">
      <c r="F308" s="57"/>
      <c r="G308" s="53"/>
      <c r="H308" s="57"/>
    </row>
    <row r="309" spans="6:8" x14ac:dyDescent="0.25">
      <c r="F309" s="57"/>
      <c r="G309" s="53"/>
      <c r="H309" s="57"/>
    </row>
    <row r="310" spans="6:8" x14ac:dyDescent="0.25">
      <c r="F310" s="57"/>
      <c r="G310" s="53"/>
      <c r="H310" s="57"/>
    </row>
    <row r="311" spans="6:8" x14ac:dyDescent="0.25">
      <c r="F311" s="57"/>
      <c r="G311" s="53"/>
      <c r="H311" s="57"/>
    </row>
    <row r="312" spans="6:8" x14ac:dyDescent="0.25">
      <c r="F312" s="57"/>
      <c r="G312" s="53"/>
      <c r="H312" s="57"/>
    </row>
    <row r="313" spans="6:8" x14ac:dyDescent="0.25">
      <c r="F313" s="57"/>
      <c r="G313" s="53"/>
      <c r="H313" s="57"/>
    </row>
    <row r="314" spans="6:8" x14ac:dyDescent="0.25">
      <c r="F314" s="57"/>
      <c r="G314" s="53"/>
      <c r="H314" s="57"/>
    </row>
    <row r="315" spans="6:8" x14ac:dyDescent="0.25">
      <c r="F315" s="57"/>
      <c r="G315" s="53"/>
      <c r="H315" s="57"/>
    </row>
    <row r="316" spans="6:8" x14ac:dyDescent="0.25">
      <c r="F316" s="57"/>
      <c r="G316" s="53"/>
      <c r="H316" s="57"/>
    </row>
    <row r="317" spans="6:8" x14ac:dyDescent="0.25">
      <c r="F317" s="57"/>
      <c r="G317" s="53"/>
      <c r="H317" s="57"/>
    </row>
    <row r="318" spans="6:8" x14ac:dyDescent="0.25">
      <c r="F318" s="57"/>
      <c r="G318" s="53"/>
      <c r="H318" s="57"/>
    </row>
    <row r="319" spans="6:8" x14ac:dyDescent="0.25">
      <c r="F319" s="57"/>
      <c r="G319" s="53"/>
      <c r="H319" s="57"/>
    </row>
    <row r="320" spans="6:8" x14ac:dyDescent="0.25">
      <c r="F320" s="57"/>
      <c r="G320" s="53"/>
      <c r="H320" s="57"/>
    </row>
    <row r="321" spans="6:8" x14ac:dyDescent="0.25">
      <c r="F321" s="57"/>
      <c r="G321" s="53"/>
      <c r="H321" s="57"/>
    </row>
    <row r="322" spans="6:8" x14ac:dyDescent="0.25">
      <c r="F322" s="57"/>
      <c r="G322" s="53"/>
      <c r="H322" s="57"/>
    </row>
    <row r="323" spans="6:8" x14ac:dyDescent="0.25">
      <c r="F323" s="57"/>
      <c r="G323" s="53"/>
      <c r="H323" s="57"/>
    </row>
    <row r="324" spans="6:8" x14ac:dyDescent="0.25">
      <c r="F324" s="57"/>
      <c r="G324" s="53"/>
      <c r="H324" s="57"/>
    </row>
    <row r="325" spans="6:8" x14ac:dyDescent="0.25">
      <c r="F325" s="57"/>
      <c r="G325" s="53"/>
      <c r="H325" s="57"/>
    </row>
    <row r="326" spans="6:8" x14ac:dyDescent="0.25">
      <c r="F326" s="57"/>
      <c r="G326" s="53"/>
      <c r="H326" s="57"/>
    </row>
    <row r="327" spans="6:8" x14ac:dyDescent="0.25">
      <c r="F327" s="57"/>
      <c r="G327" s="53"/>
      <c r="H327" s="57"/>
    </row>
    <row r="328" spans="6:8" x14ac:dyDescent="0.25">
      <c r="F328" s="57"/>
      <c r="G328" s="53"/>
      <c r="H328" s="57"/>
    </row>
    <row r="329" spans="6:8" x14ac:dyDescent="0.25">
      <c r="F329" s="57"/>
      <c r="G329" s="53"/>
      <c r="H329" s="57"/>
    </row>
    <row r="330" spans="6:8" x14ac:dyDescent="0.25">
      <c r="F330" s="57"/>
      <c r="G330" s="53"/>
      <c r="H330" s="57"/>
    </row>
    <row r="331" spans="6:8" x14ac:dyDescent="0.25">
      <c r="F331" s="57"/>
      <c r="G331" s="53"/>
      <c r="H331" s="57"/>
    </row>
    <row r="332" spans="6:8" x14ac:dyDescent="0.25">
      <c r="F332" s="57"/>
      <c r="G332" s="53"/>
      <c r="H332" s="57"/>
    </row>
    <row r="333" spans="6:8" x14ac:dyDescent="0.25">
      <c r="F333" s="57"/>
      <c r="G333" s="53"/>
      <c r="H333" s="57"/>
    </row>
    <row r="334" spans="6:8" x14ac:dyDescent="0.25">
      <c r="F334" s="57"/>
      <c r="G334" s="53"/>
      <c r="H334" s="57"/>
    </row>
    <row r="335" spans="6:8" x14ac:dyDescent="0.25">
      <c r="F335" s="57"/>
      <c r="G335" s="53"/>
      <c r="H335" s="57"/>
    </row>
    <row r="336" spans="6:8" x14ac:dyDescent="0.25">
      <c r="F336" s="57"/>
      <c r="G336" s="53"/>
      <c r="H336" s="57"/>
    </row>
    <row r="337" spans="6:8" x14ac:dyDescent="0.25">
      <c r="F337" s="57"/>
      <c r="G337" s="53"/>
      <c r="H337" s="57"/>
    </row>
    <row r="338" spans="6:8" x14ac:dyDescent="0.25">
      <c r="F338" s="57"/>
      <c r="G338" s="53"/>
      <c r="H338" s="57"/>
    </row>
    <row r="339" spans="6:8" x14ac:dyDescent="0.25">
      <c r="F339" s="57"/>
      <c r="G339" s="53"/>
      <c r="H339" s="57"/>
    </row>
    <row r="340" spans="6:8" x14ac:dyDescent="0.25">
      <c r="F340" s="57"/>
      <c r="G340" s="53"/>
      <c r="H340" s="57"/>
    </row>
    <row r="341" spans="6:8" x14ac:dyDescent="0.25">
      <c r="F341" s="57"/>
      <c r="G341" s="53"/>
      <c r="H341" s="57"/>
    </row>
    <row r="342" spans="6:8" x14ac:dyDescent="0.25">
      <c r="F342" s="57"/>
      <c r="G342" s="53"/>
      <c r="H342" s="57"/>
    </row>
    <row r="343" spans="6:8" x14ac:dyDescent="0.25">
      <c r="F343" s="57"/>
      <c r="G343" s="53"/>
      <c r="H343" s="57"/>
    </row>
    <row r="344" spans="6:8" x14ac:dyDescent="0.25">
      <c r="F344" s="57"/>
      <c r="G344" s="53"/>
      <c r="H344" s="57"/>
    </row>
    <row r="345" spans="6:8" x14ac:dyDescent="0.25">
      <c r="F345" s="57"/>
      <c r="G345" s="53"/>
      <c r="H345" s="57"/>
    </row>
    <row r="346" spans="6:8" x14ac:dyDescent="0.25">
      <c r="F346" s="57"/>
      <c r="G346" s="53"/>
      <c r="H346" s="57"/>
    </row>
    <row r="347" spans="6:8" x14ac:dyDescent="0.25">
      <c r="F347" s="57"/>
      <c r="G347" s="53"/>
      <c r="H347" s="57"/>
    </row>
    <row r="348" spans="6:8" x14ac:dyDescent="0.25">
      <c r="F348" s="57"/>
      <c r="G348" s="53"/>
      <c r="H348" s="57"/>
    </row>
    <row r="349" spans="6:8" x14ac:dyDescent="0.25">
      <c r="F349" s="57"/>
      <c r="G349" s="53"/>
      <c r="H349" s="57"/>
    </row>
    <row r="350" spans="6:8" x14ac:dyDescent="0.25">
      <c r="F350" s="57"/>
      <c r="G350" s="53"/>
      <c r="H350" s="57"/>
    </row>
    <row r="351" spans="6:8" x14ac:dyDescent="0.25">
      <c r="F351" s="57"/>
      <c r="G351" s="53"/>
      <c r="H351" s="57"/>
    </row>
    <row r="352" spans="6:8" x14ac:dyDescent="0.25">
      <c r="F352" s="57"/>
      <c r="G352" s="53"/>
      <c r="H352" s="57"/>
    </row>
    <row r="353" spans="6:8" x14ac:dyDescent="0.25">
      <c r="F353" s="57"/>
      <c r="G353" s="53"/>
      <c r="H353" s="57"/>
    </row>
    <row r="354" spans="6:8" x14ac:dyDescent="0.25">
      <c r="F354" s="57"/>
      <c r="G354" s="53"/>
      <c r="H354" s="57"/>
    </row>
    <row r="355" spans="6:8" x14ac:dyDescent="0.25">
      <c r="F355" s="57"/>
      <c r="G355" s="53"/>
      <c r="H355" s="57"/>
    </row>
    <row r="356" spans="6:8" x14ac:dyDescent="0.25">
      <c r="F356" s="57"/>
      <c r="G356" s="53"/>
      <c r="H356" s="57"/>
    </row>
    <row r="357" spans="6:8" x14ac:dyDescent="0.25">
      <c r="F357" s="57"/>
      <c r="G357" s="53"/>
      <c r="H357" s="57"/>
    </row>
    <row r="358" spans="6:8" x14ac:dyDescent="0.25">
      <c r="F358" s="57"/>
      <c r="G358" s="53"/>
      <c r="H358" s="57"/>
    </row>
    <row r="359" spans="6:8" x14ac:dyDescent="0.25">
      <c r="F359" s="57"/>
      <c r="G359" s="53"/>
      <c r="H359" s="57"/>
    </row>
    <row r="360" spans="6:8" x14ac:dyDescent="0.25">
      <c r="F360" s="57"/>
      <c r="G360" s="53"/>
      <c r="H360" s="57"/>
    </row>
    <row r="361" spans="6:8" x14ac:dyDescent="0.25">
      <c r="F361" s="57"/>
      <c r="G361" s="53"/>
      <c r="H361" s="57"/>
    </row>
    <row r="362" spans="6:8" x14ac:dyDescent="0.25">
      <c r="F362" s="57"/>
      <c r="G362" s="53"/>
      <c r="H362" s="57"/>
    </row>
    <row r="363" spans="6:8" x14ac:dyDescent="0.25">
      <c r="F363" s="57"/>
      <c r="G363" s="53"/>
      <c r="H363" s="57"/>
    </row>
    <row r="364" spans="6:8" x14ac:dyDescent="0.25">
      <c r="F364" s="57"/>
      <c r="G364" s="53"/>
      <c r="H364" s="57"/>
    </row>
    <row r="365" spans="6:8" x14ac:dyDescent="0.25">
      <c r="F365" s="57"/>
      <c r="G365" s="53"/>
      <c r="H365" s="57"/>
    </row>
    <row r="366" spans="6:8" x14ac:dyDescent="0.25">
      <c r="F366" s="57"/>
      <c r="G366" s="53"/>
      <c r="H366" s="57"/>
    </row>
    <row r="367" spans="6:8" x14ac:dyDescent="0.25">
      <c r="F367" s="57"/>
      <c r="G367" s="53"/>
      <c r="H367" s="57"/>
    </row>
    <row r="368" spans="6:8" x14ac:dyDescent="0.25">
      <c r="F368" s="57"/>
      <c r="G368" s="53"/>
      <c r="H368" s="57"/>
    </row>
    <row r="369" spans="6:8" x14ac:dyDescent="0.25">
      <c r="F369" s="57"/>
      <c r="G369" s="53"/>
      <c r="H369" s="57"/>
    </row>
    <row r="370" spans="6:8" x14ac:dyDescent="0.25">
      <c r="F370" s="57"/>
      <c r="G370" s="53"/>
      <c r="H370" s="57"/>
    </row>
    <row r="371" spans="6:8" x14ac:dyDescent="0.25">
      <c r="F371" s="57"/>
      <c r="G371" s="53"/>
      <c r="H371" s="57"/>
    </row>
    <row r="372" spans="6:8" x14ac:dyDescent="0.25">
      <c r="F372" s="57"/>
      <c r="G372" s="53"/>
      <c r="H372" s="57"/>
    </row>
    <row r="373" spans="6:8" x14ac:dyDescent="0.25">
      <c r="F373" s="57"/>
      <c r="G373" s="53"/>
      <c r="H373" s="57"/>
    </row>
    <row r="374" spans="6:8" x14ac:dyDescent="0.25">
      <c r="F374" s="57"/>
      <c r="G374" s="53"/>
      <c r="H374" s="57"/>
    </row>
    <row r="375" spans="6:8" x14ac:dyDescent="0.25">
      <c r="F375" s="57"/>
      <c r="G375" s="53"/>
      <c r="H375" s="57"/>
    </row>
    <row r="376" spans="6:8" x14ac:dyDescent="0.25">
      <c r="F376" s="57"/>
      <c r="G376" s="53"/>
      <c r="H376" s="57"/>
    </row>
    <row r="377" spans="6:8" x14ac:dyDescent="0.25">
      <c r="F377" s="57"/>
      <c r="G377" s="53"/>
      <c r="H377" s="57"/>
    </row>
    <row r="378" spans="6:8" x14ac:dyDescent="0.25">
      <c r="F378" s="57"/>
      <c r="G378" s="53"/>
      <c r="H378" s="57"/>
    </row>
    <row r="379" spans="6:8" x14ac:dyDescent="0.25">
      <c r="F379" s="57"/>
      <c r="G379" s="53"/>
      <c r="H379" s="57"/>
    </row>
    <row r="380" spans="6:8" x14ac:dyDescent="0.25">
      <c r="F380" s="57"/>
      <c r="G380" s="53"/>
      <c r="H380" s="57"/>
    </row>
    <row r="381" spans="6:8" x14ac:dyDescent="0.25">
      <c r="F381" s="57"/>
      <c r="G381" s="53"/>
      <c r="H381" s="57"/>
    </row>
    <row r="382" spans="6:8" x14ac:dyDescent="0.25">
      <c r="F382" s="57"/>
      <c r="G382" s="53"/>
      <c r="H382" s="57"/>
    </row>
    <row r="383" spans="6:8" x14ac:dyDescent="0.25">
      <c r="F383" s="57"/>
      <c r="G383" s="53"/>
      <c r="H383" s="57"/>
    </row>
    <row r="384" spans="6:8" x14ac:dyDescent="0.25">
      <c r="F384" s="57"/>
      <c r="G384" s="53"/>
      <c r="H384" s="57"/>
    </row>
    <row r="385" spans="6:8" x14ac:dyDescent="0.25">
      <c r="F385" s="57"/>
      <c r="G385" s="53"/>
      <c r="H385" s="57"/>
    </row>
    <row r="386" spans="6:8" x14ac:dyDescent="0.25">
      <c r="F386" s="57"/>
      <c r="G386" s="53"/>
      <c r="H386" s="57"/>
    </row>
    <row r="387" spans="6:8" x14ac:dyDescent="0.25">
      <c r="F387" s="57"/>
      <c r="G387" s="53"/>
      <c r="H387" s="57"/>
    </row>
    <row r="388" spans="6:8" x14ac:dyDescent="0.25">
      <c r="F388" s="57"/>
      <c r="G388" s="53"/>
      <c r="H388" s="57"/>
    </row>
    <row r="389" spans="6:8" x14ac:dyDescent="0.25">
      <c r="F389" s="57"/>
      <c r="G389" s="53"/>
      <c r="H389" s="57"/>
    </row>
    <row r="390" spans="6:8" x14ac:dyDescent="0.25">
      <c r="F390" s="57"/>
      <c r="G390" s="53"/>
      <c r="H390" s="57"/>
    </row>
    <row r="391" spans="6:8" x14ac:dyDescent="0.25">
      <c r="F391" s="57"/>
      <c r="G391" s="53"/>
      <c r="H391" s="57"/>
    </row>
    <row r="392" spans="6:8" x14ac:dyDescent="0.25">
      <c r="F392" s="57"/>
      <c r="G392" s="53"/>
      <c r="H392" s="57"/>
    </row>
    <row r="393" spans="6:8" x14ac:dyDescent="0.25">
      <c r="F393" s="57"/>
      <c r="G393" s="53"/>
      <c r="H393" s="57"/>
    </row>
    <row r="394" spans="6:8" x14ac:dyDescent="0.25">
      <c r="F394" s="57"/>
      <c r="G394" s="53"/>
      <c r="H394" s="57"/>
    </row>
    <row r="395" spans="6:8" x14ac:dyDescent="0.25">
      <c r="F395" s="57"/>
      <c r="G395" s="53"/>
      <c r="H395" s="57"/>
    </row>
    <row r="396" spans="6:8" x14ac:dyDescent="0.25">
      <c r="F396" s="57"/>
      <c r="G396" s="53"/>
      <c r="H396" s="57"/>
    </row>
    <row r="397" spans="6:8" x14ac:dyDescent="0.25">
      <c r="F397" s="57"/>
      <c r="G397" s="53"/>
      <c r="H397" s="57"/>
    </row>
    <row r="398" spans="6:8" x14ac:dyDescent="0.25">
      <c r="F398" s="57"/>
      <c r="G398" s="53"/>
      <c r="H398" s="57"/>
    </row>
    <row r="399" spans="6:8" x14ac:dyDescent="0.25">
      <c r="F399" s="57"/>
      <c r="G399" s="53"/>
      <c r="H399" s="57"/>
    </row>
    <row r="400" spans="6:8" x14ac:dyDescent="0.25">
      <c r="F400" s="57"/>
      <c r="G400" s="53"/>
      <c r="H400" s="57"/>
    </row>
    <row r="401" spans="6:8" x14ac:dyDescent="0.25">
      <c r="F401" s="57"/>
      <c r="G401" s="53"/>
      <c r="H401" s="57"/>
    </row>
    <row r="402" spans="6:8" x14ac:dyDescent="0.25">
      <c r="F402" s="57"/>
      <c r="G402" s="53"/>
      <c r="H402" s="57"/>
    </row>
    <row r="403" spans="6:8" x14ac:dyDescent="0.25">
      <c r="F403" s="57"/>
      <c r="G403" s="53"/>
      <c r="H403" s="57"/>
    </row>
    <row r="404" spans="6:8" x14ac:dyDescent="0.25">
      <c r="F404" s="57"/>
      <c r="G404" s="53"/>
      <c r="H404" s="57"/>
    </row>
    <row r="405" spans="6:8" x14ac:dyDescent="0.25">
      <c r="F405" s="57"/>
      <c r="G405" s="53"/>
      <c r="H405" s="57"/>
    </row>
    <row r="406" spans="6:8" x14ac:dyDescent="0.25">
      <c r="F406" s="57"/>
      <c r="G406" s="53"/>
      <c r="H406" s="57"/>
    </row>
    <row r="407" spans="6:8" x14ac:dyDescent="0.25">
      <c r="F407" s="57"/>
      <c r="G407" s="53"/>
      <c r="H407" s="57"/>
    </row>
    <row r="408" spans="6:8" x14ac:dyDescent="0.25">
      <c r="F408" s="57"/>
      <c r="G408" s="53"/>
      <c r="H408" s="57"/>
    </row>
    <row r="409" spans="6:8" x14ac:dyDescent="0.25">
      <c r="F409" s="57"/>
      <c r="G409" s="53"/>
      <c r="H409" s="57"/>
    </row>
    <row r="410" spans="6:8" x14ac:dyDescent="0.25">
      <c r="F410" s="57"/>
      <c r="G410" s="53"/>
      <c r="H410" s="57"/>
    </row>
    <row r="411" spans="6:8" x14ac:dyDescent="0.25">
      <c r="F411" s="57"/>
      <c r="G411" s="53"/>
      <c r="H411" s="57"/>
    </row>
    <row r="412" spans="6:8" x14ac:dyDescent="0.25">
      <c r="F412" s="57"/>
      <c r="G412" s="53"/>
      <c r="H412" s="57"/>
    </row>
    <row r="413" spans="6:8" x14ac:dyDescent="0.25">
      <c r="F413" s="57"/>
      <c r="G413" s="53"/>
      <c r="H413" s="57"/>
    </row>
    <row r="414" spans="6:8" x14ac:dyDescent="0.25">
      <c r="F414" s="57"/>
      <c r="G414" s="53"/>
      <c r="H414" s="57"/>
    </row>
    <row r="415" spans="6:8" x14ac:dyDescent="0.25">
      <c r="H415" s="57"/>
    </row>
    <row r="416" spans="6:8" x14ac:dyDescent="0.25">
      <c r="H416" s="57"/>
    </row>
  </sheetData>
  <mergeCells count="1">
    <mergeCell ref="C2:L5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AE11"/>
  <sheetViews>
    <sheetView workbookViewId="0">
      <selection activeCell="D28" sqref="D28"/>
    </sheetView>
  </sheetViews>
  <sheetFormatPr baseColWidth="10" defaultRowHeight="15" x14ac:dyDescent="0.25"/>
  <sheetData>
    <row r="2" spans="2:31" ht="15" customHeight="1" x14ac:dyDescent="0.25">
      <c r="C2" s="135" t="s">
        <v>16</v>
      </c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</row>
    <row r="3" spans="2:31" ht="15" customHeight="1" x14ac:dyDescent="0.25"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</row>
    <row r="4" spans="2:31" ht="15" customHeight="1" x14ac:dyDescent="0.25"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</row>
    <row r="5" spans="2:31" ht="15" customHeight="1" x14ac:dyDescent="0.25"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</row>
    <row r="6" spans="2:31" x14ac:dyDescent="0.25"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</row>
    <row r="9" spans="2:31" ht="60" x14ac:dyDescent="0.25">
      <c r="B9" s="136" t="s">
        <v>83</v>
      </c>
      <c r="C9" s="136" t="s">
        <v>79</v>
      </c>
      <c r="D9" s="136" t="s">
        <v>84</v>
      </c>
      <c r="E9" s="136" t="s">
        <v>85</v>
      </c>
      <c r="F9" s="136" t="s">
        <v>86</v>
      </c>
      <c r="G9" s="136" t="s">
        <v>87</v>
      </c>
      <c r="H9" s="136" t="s">
        <v>88</v>
      </c>
      <c r="I9" s="136" t="s">
        <v>89</v>
      </c>
      <c r="J9" s="80" t="s">
        <v>90</v>
      </c>
      <c r="K9" s="134" t="s">
        <v>91</v>
      </c>
      <c r="L9" s="134"/>
      <c r="M9" s="134" t="s">
        <v>92</v>
      </c>
      <c r="N9" s="134"/>
      <c r="O9" s="134" t="s">
        <v>93</v>
      </c>
      <c r="P9" s="134"/>
      <c r="Q9" s="134" t="s">
        <v>94</v>
      </c>
      <c r="R9" s="134"/>
      <c r="S9" s="137" t="s">
        <v>95</v>
      </c>
      <c r="T9" s="137"/>
      <c r="U9" s="134" t="s">
        <v>96</v>
      </c>
      <c r="V9" s="134"/>
      <c r="W9" s="134" t="s">
        <v>97</v>
      </c>
      <c r="X9" s="134"/>
      <c r="Y9" s="134" t="s">
        <v>98</v>
      </c>
      <c r="Z9" s="134"/>
      <c r="AA9" s="134" t="s">
        <v>99</v>
      </c>
      <c r="AB9" s="134"/>
      <c r="AC9" s="78" t="s">
        <v>100</v>
      </c>
      <c r="AD9" s="136" t="s">
        <v>101</v>
      </c>
      <c r="AE9" s="136"/>
    </row>
    <row r="10" spans="2:31" x14ac:dyDescent="0.25">
      <c r="B10" s="136"/>
      <c r="C10" s="136"/>
      <c r="D10" s="136"/>
      <c r="E10" s="136"/>
      <c r="F10" s="136"/>
      <c r="G10" s="136"/>
      <c r="H10" s="136"/>
      <c r="I10" s="136"/>
      <c r="J10" s="64" t="s">
        <v>102</v>
      </c>
      <c r="K10" s="64" t="s">
        <v>102</v>
      </c>
      <c r="L10" s="64" t="s">
        <v>103</v>
      </c>
      <c r="M10" s="64" t="s">
        <v>102</v>
      </c>
      <c r="N10" s="64" t="s">
        <v>103</v>
      </c>
      <c r="O10" s="64" t="s">
        <v>102</v>
      </c>
      <c r="P10" s="64" t="s">
        <v>103</v>
      </c>
      <c r="Q10" s="64" t="s">
        <v>102</v>
      </c>
      <c r="R10" s="64" t="s">
        <v>103</v>
      </c>
      <c r="S10" s="64" t="s">
        <v>102</v>
      </c>
      <c r="T10" s="64" t="s">
        <v>103</v>
      </c>
      <c r="U10" s="64" t="s">
        <v>102</v>
      </c>
      <c r="V10" s="64" t="s">
        <v>103</v>
      </c>
      <c r="W10" s="64" t="s">
        <v>102</v>
      </c>
      <c r="X10" s="64" t="s">
        <v>103</v>
      </c>
      <c r="Y10" s="64" t="s">
        <v>102</v>
      </c>
      <c r="Z10" s="64" t="s">
        <v>103</v>
      </c>
      <c r="AA10" s="64" t="s">
        <v>102</v>
      </c>
      <c r="AB10" s="64" t="s">
        <v>103</v>
      </c>
      <c r="AC10" s="64" t="s">
        <v>102</v>
      </c>
      <c r="AD10" s="64" t="s">
        <v>102</v>
      </c>
      <c r="AE10" s="64" t="s">
        <v>103</v>
      </c>
    </row>
    <row r="11" spans="2:31" x14ac:dyDescent="0.25">
      <c r="B11" s="136"/>
      <c r="C11" s="136"/>
      <c r="D11" s="136"/>
      <c r="E11" s="136"/>
      <c r="F11" s="136"/>
      <c r="G11" s="136"/>
      <c r="H11" s="136"/>
      <c r="I11" s="136"/>
      <c r="J11" s="79">
        <v>0.20399999999999999</v>
      </c>
      <c r="K11" s="79">
        <v>1.0999999999999999E-2</v>
      </c>
      <c r="L11" s="79">
        <v>4.0000000000000001E-3</v>
      </c>
      <c r="M11" s="79">
        <v>7.0000000000000001E-3</v>
      </c>
      <c r="N11" s="79">
        <v>2.5000000000000001E-3</v>
      </c>
      <c r="O11" s="79">
        <v>1.0500000000000001E-2</v>
      </c>
      <c r="P11" s="79">
        <v>3.8E-3</v>
      </c>
      <c r="Q11" s="79">
        <v>1.7500000000000002E-2</v>
      </c>
      <c r="R11" s="79">
        <v>6.3E-3</v>
      </c>
      <c r="S11" s="79">
        <v>0.01</v>
      </c>
      <c r="T11" s="79">
        <v>0</v>
      </c>
      <c r="U11" s="81">
        <v>0.5</v>
      </c>
      <c r="V11" s="79">
        <v>0</v>
      </c>
      <c r="W11" s="79">
        <v>0.02</v>
      </c>
      <c r="X11" s="79">
        <v>0</v>
      </c>
      <c r="Y11" s="79">
        <v>3.15E-2</v>
      </c>
      <c r="Z11" s="79">
        <v>1.1299999999999999E-2</v>
      </c>
      <c r="AA11" s="79">
        <v>0.05</v>
      </c>
      <c r="AB11" s="79">
        <v>0</v>
      </c>
      <c r="AC11" s="83" t="s">
        <v>105</v>
      </c>
      <c r="AD11" s="79">
        <f>+J11+K11+M11+O11+Q11+S11+U11+W11+Y11+AA11</f>
        <v>0.86150000000000004</v>
      </c>
      <c r="AE11" s="79">
        <f>+L11+N11+P11+R11+T11+V11+X11+Z11+AB11</f>
        <v>2.7900000000000001E-2</v>
      </c>
    </row>
  </sheetData>
  <mergeCells count="19">
    <mergeCell ref="B9:B11"/>
    <mergeCell ref="C9:C11"/>
    <mergeCell ref="D9:D11"/>
    <mergeCell ref="E9:E11"/>
    <mergeCell ref="F9:F11"/>
    <mergeCell ref="O9:P9"/>
    <mergeCell ref="Q9:R9"/>
    <mergeCell ref="C2:T6"/>
    <mergeCell ref="AD9:AE9"/>
    <mergeCell ref="S9:T9"/>
    <mergeCell ref="U9:V9"/>
    <mergeCell ref="W9:X9"/>
    <mergeCell ref="Y9:Z9"/>
    <mergeCell ref="AA9:AB9"/>
    <mergeCell ref="G9:G11"/>
    <mergeCell ref="H9:H11"/>
    <mergeCell ref="I9:I11"/>
    <mergeCell ref="K9:L9"/>
    <mergeCell ref="M9:N9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P311"/>
  <sheetViews>
    <sheetView tabSelected="1" workbookViewId="0">
      <pane xSplit="4" topLeftCell="E1" activePane="topRight" state="frozen"/>
      <selection activeCell="D28" sqref="D28"/>
      <selection pane="topRight" activeCell="E1" sqref="E1:M4"/>
    </sheetView>
  </sheetViews>
  <sheetFormatPr baseColWidth="10" defaultRowHeight="15" x14ac:dyDescent="0.25"/>
  <cols>
    <col min="1" max="1" width="12.28515625" customWidth="1"/>
    <col min="2" max="2" width="34.7109375" customWidth="1"/>
    <col min="3" max="3" width="11.85546875" customWidth="1"/>
    <col min="4" max="4" width="15.28515625" customWidth="1"/>
    <col min="5" max="5" width="16.140625" customWidth="1"/>
    <col min="6" max="7" width="16.42578125" customWidth="1"/>
    <col min="8" max="8" width="17.85546875" customWidth="1"/>
    <col min="9" max="9" width="16.28515625" customWidth="1"/>
    <col min="10" max="10" width="20.7109375" customWidth="1"/>
    <col min="11" max="11" width="14.28515625" customWidth="1"/>
    <col min="12" max="12" width="14.140625" customWidth="1"/>
    <col min="13" max="13" width="15.140625" customWidth="1"/>
    <col min="14" max="14" width="14.42578125" customWidth="1"/>
    <col min="15" max="15" width="9.28515625" customWidth="1"/>
    <col min="16" max="16" width="14.140625" customWidth="1"/>
    <col min="17" max="17" width="14.5703125" customWidth="1"/>
    <col min="18" max="18" width="17.5703125" customWidth="1"/>
    <col min="19" max="19" width="13.140625" customWidth="1"/>
    <col min="20" max="20" width="17.28515625" customWidth="1"/>
    <col min="21" max="22" width="16.28515625" customWidth="1"/>
    <col min="23" max="23" width="3.140625" customWidth="1"/>
    <col min="24" max="24" width="16.28515625" customWidth="1"/>
  </cols>
  <sheetData>
    <row r="1" spans="1:42" ht="15" customHeight="1" x14ac:dyDescent="0.25">
      <c r="A1" s="1"/>
      <c r="B1" s="1"/>
      <c r="C1" s="1"/>
      <c r="D1" s="21"/>
      <c r="E1" s="140" t="s">
        <v>17</v>
      </c>
      <c r="F1" s="140"/>
      <c r="G1" s="140"/>
      <c r="H1" s="140"/>
      <c r="I1" s="140"/>
      <c r="J1" s="140"/>
      <c r="K1" s="140"/>
      <c r="L1" s="140"/>
      <c r="M1" s="140"/>
      <c r="N1" s="92"/>
      <c r="O1" s="21"/>
      <c r="P1" s="21"/>
      <c r="Q1" s="2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15" customHeight="1" x14ac:dyDescent="0.25">
      <c r="A2" s="1"/>
      <c r="B2" s="21"/>
      <c r="C2" s="21"/>
      <c r="E2" s="140"/>
      <c r="F2" s="140"/>
      <c r="G2" s="140"/>
      <c r="H2" s="140"/>
      <c r="I2" s="140"/>
      <c r="J2" s="140"/>
      <c r="K2" s="140"/>
      <c r="L2" s="140"/>
      <c r="M2" s="140"/>
      <c r="N2" s="92"/>
      <c r="O2" s="1"/>
      <c r="P2" s="1"/>
      <c r="Q2" s="1"/>
      <c r="R2" s="25"/>
      <c r="S2" s="25"/>
      <c r="T2" s="25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ht="15" customHeight="1" x14ac:dyDescent="0.25">
      <c r="A3" s="1"/>
      <c r="B3" s="21"/>
      <c r="C3" s="21"/>
      <c r="D3" s="21"/>
      <c r="E3" s="140"/>
      <c r="F3" s="140"/>
      <c r="G3" s="140"/>
      <c r="H3" s="140"/>
      <c r="I3" s="140"/>
      <c r="J3" s="140"/>
      <c r="K3" s="140"/>
      <c r="L3" s="140"/>
      <c r="M3" s="140"/>
      <c r="N3" s="92"/>
      <c r="O3" s="1"/>
      <c r="P3" s="1"/>
      <c r="Q3" s="1"/>
      <c r="R3" s="25"/>
      <c r="S3" s="25"/>
      <c r="T3" s="25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ht="15" customHeight="1" x14ac:dyDescent="0.25">
      <c r="A4" s="1"/>
      <c r="B4" s="1"/>
      <c r="C4" s="1"/>
      <c r="D4" s="21"/>
      <c r="E4" s="140"/>
      <c r="F4" s="140"/>
      <c r="G4" s="140"/>
      <c r="H4" s="140"/>
      <c r="I4" s="140"/>
      <c r="J4" s="140"/>
      <c r="K4" s="140"/>
      <c r="L4" s="140"/>
      <c r="M4" s="140"/>
      <c r="N4" s="92"/>
      <c r="O4" s="1"/>
      <c r="P4" s="1"/>
      <c r="Q4" s="1"/>
      <c r="R4" s="25"/>
      <c r="S4" s="25"/>
      <c r="T4" s="25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ht="15.75" x14ac:dyDescent="0.25">
      <c r="A5" s="1"/>
      <c r="B5" s="1"/>
      <c r="C5" s="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5"/>
      <c r="P5" s="25"/>
      <c r="Q5" s="25"/>
      <c r="R5" s="25"/>
      <c r="S5" s="25"/>
      <c r="T5" s="25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ht="15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26"/>
      <c r="N6" s="22"/>
      <c r="O6" s="25"/>
      <c r="P6" s="25"/>
      <c r="Q6" s="25"/>
      <c r="R6" s="25"/>
      <c r="S6" s="25"/>
      <c r="T6" s="2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ht="15" customHeight="1" x14ac:dyDescent="0.25">
      <c r="A7" s="167" t="s">
        <v>28</v>
      </c>
      <c r="B7" s="167"/>
      <c r="C7" s="168"/>
      <c r="D7" s="167"/>
      <c r="E7" s="1"/>
      <c r="F7" s="150" t="s">
        <v>107</v>
      </c>
      <c r="G7" s="151"/>
      <c r="H7" s="152"/>
      <c r="I7" s="1"/>
      <c r="J7" s="146" t="s">
        <v>30</v>
      </c>
      <c r="K7" s="147"/>
      <c r="L7" s="144" t="s">
        <v>31</v>
      </c>
      <c r="M7" s="143" t="s">
        <v>32</v>
      </c>
      <c r="O7" s="25" t="s">
        <v>38</v>
      </c>
      <c r="P7" s="20"/>
      <c r="Q7" s="1"/>
      <c r="R7" s="27"/>
      <c r="S7" s="27"/>
      <c r="T7" s="25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ht="15.75" customHeight="1" x14ac:dyDescent="0.25">
      <c r="A8" s="153" t="s">
        <v>26</v>
      </c>
      <c r="B8" s="161" t="s">
        <v>50</v>
      </c>
      <c r="C8" s="162"/>
      <c r="D8" s="163"/>
      <c r="E8" s="1"/>
      <c r="F8" s="141" t="s">
        <v>36</v>
      </c>
      <c r="G8" s="142"/>
      <c r="H8" s="14">
        <v>6</v>
      </c>
      <c r="I8" s="1"/>
      <c r="J8" s="148"/>
      <c r="K8" s="149"/>
      <c r="L8" s="145"/>
      <c r="M8" s="143"/>
      <c r="N8" s="138" t="s">
        <v>39</v>
      </c>
      <c r="O8" s="139"/>
      <c r="P8" s="19"/>
      <c r="Q8" s="1"/>
      <c r="R8" s="25"/>
      <c r="S8" s="25"/>
      <c r="T8" s="25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17.25" x14ac:dyDescent="0.35">
      <c r="A9" s="154"/>
      <c r="B9" s="164"/>
      <c r="C9" s="165"/>
      <c r="D9" s="166"/>
      <c r="E9" s="1"/>
      <c r="F9" s="141" t="s">
        <v>37</v>
      </c>
      <c r="G9" s="142"/>
      <c r="H9" s="15">
        <v>0.25</v>
      </c>
      <c r="I9" s="1"/>
      <c r="J9" s="75" t="s">
        <v>33</v>
      </c>
      <c r="K9" s="7" t="s">
        <v>135</v>
      </c>
      <c r="L9" s="16" t="s">
        <v>136</v>
      </c>
      <c r="M9" s="79">
        <v>100</v>
      </c>
      <c r="N9" s="76"/>
      <c r="O9" s="1"/>
      <c r="P9" s="25"/>
      <c r="Q9" s="82"/>
      <c r="R9" s="25"/>
      <c r="S9" s="25"/>
      <c r="T9" s="25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ht="15.75" customHeight="1" x14ac:dyDescent="0.25">
      <c r="A10" s="153" t="s">
        <v>27</v>
      </c>
      <c r="B10" s="155">
        <v>0.5</v>
      </c>
      <c r="C10" s="156"/>
      <c r="D10" s="157"/>
      <c r="E10" s="1"/>
      <c r="F10" s="141" t="s">
        <v>29</v>
      </c>
      <c r="G10" s="142"/>
      <c r="H10" s="14">
        <v>15</v>
      </c>
      <c r="I10" s="1"/>
      <c r="J10" s="75" t="s">
        <v>34</v>
      </c>
      <c r="K10" s="7" t="s">
        <v>135</v>
      </c>
      <c r="L10" s="10" t="s">
        <v>136</v>
      </c>
      <c r="M10" s="79">
        <v>100</v>
      </c>
      <c r="N10" s="76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ht="15.75" customHeight="1" x14ac:dyDescent="0.25">
      <c r="A11" s="154"/>
      <c r="B11" s="158"/>
      <c r="C11" s="159"/>
      <c r="D11" s="160"/>
      <c r="E11" s="23"/>
      <c r="F11" s="1"/>
      <c r="G11" s="1"/>
      <c r="H11" s="1"/>
      <c r="I11" s="1"/>
      <c r="J11" s="75" t="s">
        <v>21</v>
      </c>
      <c r="K11" s="7" t="s">
        <v>137</v>
      </c>
      <c r="L11" s="10"/>
      <c r="M11" s="79"/>
      <c r="N11" s="76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ht="15.75" x14ac:dyDescent="0.25">
      <c r="A12" s="1"/>
      <c r="B12" s="1"/>
      <c r="C12" s="1"/>
      <c r="D12" s="1"/>
      <c r="E12" s="1"/>
      <c r="F12" s="1"/>
      <c r="G12" s="1"/>
      <c r="H12" s="1"/>
      <c r="I12" s="1"/>
      <c r="J12" s="75" t="s">
        <v>35</v>
      </c>
      <c r="K12" s="8" t="s">
        <v>137</v>
      </c>
      <c r="L12" s="10"/>
      <c r="M12" s="79"/>
      <c r="N12" s="76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ht="15.75" x14ac:dyDescent="0.25">
      <c r="A13" s="1"/>
      <c r="B13" s="1"/>
      <c r="C13" s="1"/>
      <c r="D13" s="1"/>
      <c r="E13" s="1"/>
      <c r="F13" s="1"/>
      <c r="G13" s="1"/>
      <c r="H13" s="1"/>
      <c r="I13" s="1"/>
      <c r="J13" s="75" t="s">
        <v>80</v>
      </c>
      <c r="K13" s="7" t="s">
        <v>137</v>
      </c>
      <c r="L13" s="16"/>
      <c r="M13" s="16"/>
      <c r="N13" s="25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ht="15.75" x14ac:dyDescent="0.25">
      <c r="A14" s="18" t="str">
        <f>IF(B8="","NO","SI")</f>
        <v>SI</v>
      </c>
      <c r="B14" s="1"/>
      <c r="C14" s="1"/>
      <c r="D14" s="1"/>
      <c r="E14" s="1"/>
      <c r="F14" s="1"/>
      <c r="G14" s="1"/>
      <c r="H14" s="1"/>
      <c r="I14" s="1"/>
      <c r="J14" s="85" t="s">
        <v>22</v>
      </c>
      <c r="K14" s="86" t="s">
        <v>137</v>
      </c>
      <c r="L14" s="87"/>
      <c r="M14" s="87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ht="15.75" x14ac:dyDescent="0.25">
      <c r="A15" s="1"/>
      <c r="B15" s="1"/>
      <c r="C15" s="1"/>
      <c r="D15" s="1"/>
      <c r="E15" s="1"/>
      <c r="F15" s="1"/>
      <c r="G15" s="1"/>
      <c r="H15" s="1"/>
      <c r="I15" s="1"/>
      <c r="J15" s="85" t="s">
        <v>23</v>
      </c>
      <c r="K15" s="86" t="s">
        <v>137</v>
      </c>
      <c r="L15" s="87"/>
      <c r="M15" s="87"/>
      <c r="N15" s="1"/>
      <c r="O15" s="1"/>
      <c r="P15" s="1"/>
      <c r="Q15" s="1"/>
      <c r="R15" s="1"/>
      <c r="S15" s="1"/>
      <c r="T15" s="1"/>
      <c r="U15" s="1"/>
      <c r="V15" s="1"/>
      <c r="W15" s="1"/>
      <c r="X15" s="25"/>
      <c r="Y15" s="25"/>
      <c r="Z15" s="28"/>
      <c r="AA15" s="28"/>
      <c r="AB15" s="28"/>
      <c r="AC15" s="28"/>
      <c r="AD15" s="28"/>
      <c r="AE15" s="28"/>
      <c r="AF15" s="28"/>
      <c r="AG15" s="28"/>
      <c r="AH15" s="25"/>
      <c r="AI15" s="1"/>
      <c r="AJ15" s="1"/>
      <c r="AK15" s="1"/>
      <c r="AL15" s="1"/>
      <c r="AM15" s="1"/>
      <c r="AN15" s="1"/>
      <c r="AO15" s="1"/>
      <c r="AP15" s="1"/>
    </row>
    <row r="16" spans="1:4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1"/>
      <c r="AJ16" s="1"/>
      <c r="AK16" s="1"/>
      <c r="AL16" s="1"/>
      <c r="AM16" s="1"/>
      <c r="AN16" s="1"/>
      <c r="AO16" s="1"/>
      <c r="AP16" s="1"/>
    </row>
    <row r="17" spans="1:42" ht="45" x14ac:dyDescent="0.35">
      <c r="A17" s="11" t="s">
        <v>76</v>
      </c>
      <c r="B17" s="12" t="s">
        <v>77</v>
      </c>
      <c r="C17" s="59" t="s">
        <v>72</v>
      </c>
      <c r="D17" s="11" t="s">
        <v>79</v>
      </c>
      <c r="E17" s="13" t="s">
        <v>18</v>
      </c>
      <c r="F17" s="13" t="s">
        <v>19</v>
      </c>
      <c r="G17" s="13" t="s">
        <v>20</v>
      </c>
      <c r="H17" s="13" t="s">
        <v>21</v>
      </c>
      <c r="I17" s="13" t="s">
        <v>80</v>
      </c>
      <c r="J17" s="13" t="s">
        <v>22</v>
      </c>
      <c r="K17" s="13" t="s">
        <v>23</v>
      </c>
      <c r="L17" s="13" t="s">
        <v>108</v>
      </c>
      <c r="M17" s="13" t="s">
        <v>24</v>
      </c>
      <c r="N17" s="13" t="s">
        <v>25</v>
      </c>
      <c r="O17" s="13" t="s">
        <v>109</v>
      </c>
      <c r="P17" s="13" t="s">
        <v>81</v>
      </c>
      <c r="Q17" s="17" t="s">
        <v>71</v>
      </c>
      <c r="R17" s="17" t="s">
        <v>75</v>
      </c>
      <c r="S17" s="17" t="s">
        <v>40</v>
      </c>
      <c r="T17" s="66" t="s">
        <v>82</v>
      </c>
      <c r="U17" s="66" t="s">
        <v>78</v>
      </c>
      <c r="V17" s="66" t="s">
        <v>74</v>
      </c>
      <c r="X17" s="77" t="s">
        <v>73</v>
      </c>
      <c r="Y17" s="35">
        <f>IFERROR(IF(#REF!="MENSUAL",ISR(D19,isr_mensual,subsidio_mensual),IF(#REF!="QUINCENAL",ISR(D19,isr_quincenal,subsidio_qunicenal),IF(#REF! = "SEMANAL",ISR(D19,isr_semanal,subsidio_semanal),ISR(D19,isr_catorcenal,subsidio_catorcenal)))),0)</f>
        <v>0</v>
      </c>
      <c r="Z17" s="29"/>
      <c r="AA17" s="29"/>
      <c r="AB17" s="29"/>
      <c r="AC17" s="29"/>
      <c r="AD17" s="30"/>
      <c r="AE17" s="29"/>
      <c r="AF17" s="29"/>
      <c r="AG17" s="31"/>
      <c r="AH17" s="32"/>
      <c r="AI17" s="1"/>
      <c r="AJ17" s="1"/>
      <c r="AK17" s="1"/>
      <c r="AL17" s="1"/>
      <c r="AM17" s="1"/>
      <c r="AN17" s="1"/>
      <c r="AO17" s="1"/>
      <c r="AP17" s="1"/>
    </row>
    <row r="18" spans="1:42" ht="16.5" x14ac:dyDescent="0.35">
      <c r="A18" s="1"/>
      <c r="B18" s="1"/>
      <c r="C18" s="1"/>
      <c r="D18" s="1"/>
      <c r="E18" s="1"/>
      <c r="F18" s="24"/>
      <c r="G18" s="24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5"/>
      <c r="V18" s="25"/>
      <c r="W18" s="25"/>
      <c r="X18" s="25"/>
      <c r="Y18" s="35">
        <f>IFERROR(IF(#REF!="MENSUAL",ISR(D20,isr_mensual,subsidio_mensual),IF(#REF!="QUINCENAL",ISR(D20,isr_quincenal,subsidio_qunicenal),IF(#REF! = "SEMANAL",ISR(D20,isr_semanal,subsidio_semanal),ISR(D20,isr_catorcenal,subsidio_catorcenal)))),0)</f>
        <v>0</v>
      </c>
      <c r="Z18" s="29"/>
      <c r="AA18" s="29"/>
      <c r="AB18" s="29"/>
      <c r="AC18" s="29"/>
      <c r="AD18" s="30"/>
      <c r="AE18" s="29"/>
      <c r="AF18" s="29" t="e">
        <f ca="1">ISR(D20,isr_mensual,subsidio_mensual)</f>
        <v>#NAME?</v>
      </c>
      <c r="AG18" s="31"/>
      <c r="AH18" s="32"/>
      <c r="AI18" s="1"/>
      <c r="AJ18" s="1"/>
      <c r="AK18" s="1"/>
      <c r="AL18" s="1"/>
      <c r="AM18" s="1"/>
      <c r="AN18" s="1"/>
      <c r="AO18" s="1"/>
      <c r="AP18" s="1"/>
    </row>
    <row r="19" spans="1:42" ht="16.5" x14ac:dyDescent="0.35">
      <c r="A19" s="41"/>
      <c r="B19" s="42"/>
      <c r="C19" s="61"/>
      <c r="D19" s="43"/>
      <c r="E19" s="46">
        <f>IF(D19 = "", 0, PUNTUALIDAD(D19,$M$9,#REF!))</f>
        <v>0</v>
      </c>
      <c r="F19" s="46">
        <f>IF(D19="",0,ASISTENCIA(D19,$M$10,#REF!))</f>
        <v>0</v>
      </c>
      <c r="G19" s="46">
        <f>IF(D19="",0,VALES(D19,$L$12,$M$12))</f>
        <v>0</v>
      </c>
      <c r="H19" s="46">
        <f>IF(D19 = "", 0, AHORRO(D19,$M$11,#REF!))</f>
        <v>0</v>
      </c>
      <c r="I19" s="88"/>
      <c r="J19" s="89"/>
      <c r="K19" s="89"/>
      <c r="L19" s="50"/>
      <c r="M19" s="73"/>
      <c r="N19" s="45"/>
      <c r="O19" s="72"/>
      <c r="P19" s="69"/>
      <c r="Q19" s="68"/>
      <c r="R19" s="44"/>
      <c r="S19" s="62"/>
      <c r="T19" s="46"/>
      <c r="U19" s="46" t="str">
        <f>IF(D19 = "", "",NETO(D19,E19,F19,G19,H19,I19,J19,K19,L19,N19,O19,Q19,#REF!,Y17))</f>
        <v/>
      </c>
      <c r="V19" s="65"/>
      <c r="W19" s="67"/>
      <c r="X19" s="65"/>
      <c r="Y19" s="35">
        <f>IFERROR(IF(#REF!="MENSUAL",ISR(D21,isr_mensual,subsidio_mensual),IF(#REF!="QUINCENAL",ISR(D21,isr_quincenal,subsidio_qunicenal),IF(#REF! = "SEMANAL",ISR(D21,isr_semanal,subsidio_semanal),ISR(D21,isr_catorcenal,subsidio_catorcenal)))),0)</f>
        <v>0</v>
      </c>
      <c r="Z19" s="29"/>
      <c r="AA19" s="29"/>
      <c r="AB19" s="29"/>
      <c r="AC19" s="29"/>
      <c r="AD19" s="30"/>
      <c r="AE19" s="29"/>
      <c r="AF19" s="29" t="e">
        <f ca="1">ISR(D19,isr_mensual,subsidio_mensual)</f>
        <v>#NAME?</v>
      </c>
      <c r="AG19" s="33"/>
      <c r="AH19" s="32"/>
      <c r="AI19" s="1"/>
      <c r="AJ19" s="1"/>
      <c r="AK19" s="1"/>
      <c r="AL19" s="1"/>
      <c r="AM19" s="1"/>
      <c r="AN19" s="1"/>
      <c r="AO19" s="1"/>
      <c r="AP19" s="1"/>
    </row>
    <row r="20" spans="1:42" ht="16.5" x14ac:dyDescent="0.35">
      <c r="A20" s="41"/>
      <c r="B20" s="42"/>
      <c r="C20" s="61"/>
      <c r="D20" s="43"/>
      <c r="E20" s="46">
        <f>IF(D20 = "", 0, PUNTUALIDAD(D20,$M$9,#REF!))</f>
        <v>0</v>
      </c>
      <c r="F20" s="46">
        <f>IF(D20="",0,ASISTENCIA(D20,$M$10,#REF!))</f>
        <v>0</v>
      </c>
      <c r="G20" s="46">
        <f>IF(D20="",0,VALES(D20,$L$12,$M$12))</f>
        <v>0</v>
      </c>
      <c r="H20" s="46">
        <f>IF(D20 = "", 0, AHORRO(D20,$M$11,#REF!))</f>
        <v>0</v>
      </c>
      <c r="I20" s="88"/>
      <c r="J20" s="89"/>
      <c r="K20" s="89"/>
      <c r="L20" s="50"/>
      <c r="M20" s="73"/>
      <c r="N20" s="45"/>
      <c r="O20" s="72"/>
      <c r="P20" s="70"/>
      <c r="Q20" s="68"/>
      <c r="R20" s="44"/>
      <c r="S20" s="62"/>
      <c r="T20" s="46"/>
      <c r="U20" s="46" t="str">
        <f>IF(D20 = "", "",NETO(D20,E20,F20,G20,H20,I20,J20,K20,L20,N20,O20,Q20,#REF!,Y18))</f>
        <v/>
      </c>
      <c r="V20" s="65"/>
      <c r="W20" s="67"/>
      <c r="X20" s="65"/>
      <c r="Y20" s="35">
        <f>IFERROR(IF(#REF!="MENSUAL",ISR(D22,isr_mensual,subsidio_mensual),IF(#REF!="QUINCENAL",ISR(D22,isr_quincenal,subsidio_qunicenal),IF(#REF! = "SEMANAL",ISR(D22,isr_semanal,subsidio_semanal),ISR(D22,isr_catorcenal,subsidio_catorcenal)))),0)</f>
        <v>0</v>
      </c>
      <c r="Z20" s="25"/>
      <c r="AA20" s="25"/>
      <c r="AB20" s="25"/>
      <c r="AC20" s="25"/>
      <c r="AD20" s="25"/>
      <c r="AE20" s="25"/>
      <c r="AF20" s="25"/>
      <c r="AG20" s="25"/>
      <c r="AH20" s="25"/>
      <c r="AI20" s="1"/>
      <c r="AJ20" s="1"/>
      <c r="AK20" s="1"/>
      <c r="AL20" s="1"/>
      <c r="AM20" s="1"/>
      <c r="AN20" s="1"/>
      <c r="AO20" s="1"/>
      <c r="AP20" s="1"/>
    </row>
    <row r="21" spans="1:42" ht="16.5" x14ac:dyDescent="0.35">
      <c r="A21" s="41"/>
      <c r="B21" s="42"/>
      <c r="C21" s="61"/>
      <c r="D21" s="43"/>
      <c r="E21" s="46">
        <f>IF(D21 = "", 0, PUNTUALIDAD(D21,$M$9,#REF!))</f>
        <v>0</v>
      </c>
      <c r="F21" s="46">
        <f>IF(D21="",0,ASISTENCIA(D21,$M$10,#REF!))</f>
        <v>0</v>
      </c>
      <c r="G21" s="46">
        <f>IF(D21="",0,VALES(D21,$M$12,#REF!))</f>
        <v>0</v>
      </c>
      <c r="H21" s="46">
        <f>IF(D21 = "", 0, AHORRO(D21,$M$11,#REF!))</f>
        <v>0</v>
      </c>
      <c r="I21" s="90"/>
      <c r="J21" s="89"/>
      <c r="K21" s="89"/>
      <c r="L21" s="50"/>
      <c r="M21" s="73"/>
      <c r="N21" s="45"/>
      <c r="O21" s="72"/>
      <c r="P21" s="70"/>
      <c r="Q21" s="68"/>
      <c r="R21" s="44"/>
      <c r="S21" s="62"/>
      <c r="T21" s="46"/>
      <c r="U21" s="46" t="str">
        <f>IF(D21 = "", "",NETO(D21,E21,F21,G21,H21,I21,J21,K21,L21,N21,O21,Q21,#REF!,Y19))</f>
        <v/>
      </c>
      <c r="V21" s="65"/>
      <c r="W21" s="67"/>
      <c r="X21" s="65"/>
      <c r="Y21" s="35">
        <f>IFERROR(IF(#REF!="MENSUAL",ISR(D23,isr_mensual,subsidio_mensual),IF(#REF!="QUINCENAL",ISR(D23,isr_quincenal,subsidio_qunicenal),IF(#REF! = "SEMANAL",ISR(D23,isr_semanal,subsidio_semanal),ISR(D23,isr_catorcenal,subsidio_catorcenal)))),0)</f>
        <v>0</v>
      </c>
      <c r="Z21" s="25"/>
      <c r="AA21" s="25"/>
      <c r="AB21" s="25"/>
      <c r="AC21" s="25"/>
      <c r="AD21" s="25"/>
      <c r="AE21" s="25"/>
      <c r="AF21" s="34"/>
      <c r="AG21" s="25"/>
      <c r="AH21" s="25"/>
      <c r="AI21" s="1"/>
      <c r="AJ21" s="1"/>
      <c r="AK21" s="1"/>
      <c r="AL21" s="1"/>
      <c r="AM21" s="1"/>
      <c r="AN21" s="1"/>
      <c r="AO21" s="1"/>
      <c r="AP21" s="1"/>
    </row>
    <row r="22" spans="1:42" ht="16.5" x14ac:dyDescent="0.35">
      <c r="A22" s="47"/>
      <c r="B22" s="47"/>
      <c r="C22" s="60"/>
      <c r="D22" s="49"/>
      <c r="E22" s="46">
        <f>IF(D22 = "", 0, PUNTUALIDAD(D22,$M$9,#REF!))</f>
        <v>0</v>
      </c>
      <c r="F22" s="46">
        <f>IF(D22="",0,ASISTENCIA(D22,$M$10,#REF!))</f>
        <v>0</v>
      </c>
      <c r="G22" s="46">
        <f>IF(D22="",0,VALES(D22,$M$12,#REF!))</f>
        <v>0</v>
      </c>
      <c r="H22" s="46">
        <f>IF(D22 = "", 0, AHORRO(D22,$M$11,#REF!))</f>
        <v>0</v>
      </c>
      <c r="I22" s="91"/>
      <c r="J22" s="91"/>
      <c r="K22" s="91"/>
      <c r="L22" s="51"/>
      <c r="M22" s="74"/>
      <c r="N22" s="45"/>
      <c r="O22" s="72"/>
      <c r="P22" s="71"/>
      <c r="Q22" s="68"/>
      <c r="R22" s="48"/>
      <c r="S22" s="63"/>
      <c r="T22" s="52"/>
      <c r="U22" s="46" t="str">
        <f>IF(D22 = "", "",NETO(D22,E22,F22,G22,H22,I22,J22,K22,L22,N22,O22,Q22,#REF!,Y20))</f>
        <v/>
      </c>
      <c r="V22" s="65"/>
      <c r="W22" s="67"/>
      <c r="X22" s="65"/>
      <c r="Y22" s="35">
        <f>IFERROR(IF(#REF!="MENSUAL",ISR(D24,isr_mensual,subsidio_mensual),IF(#REF!="QUINCENAL",ISR(D24,isr_quincenal,subsidio_qunicenal),IF(#REF! = "SEMANAL",ISR(D24,isr_semanal,subsidio_semanal),ISR(D24,isr_catorcenal,subsidio_catorcenal)))),0)</f>
        <v>0</v>
      </c>
      <c r="Z22" s="25"/>
      <c r="AA22" s="25"/>
      <c r="AB22" s="25"/>
      <c r="AC22" s="25"/>
      <c r="AD22" s="25"/>
      <c r="AE22" s="25"/>
      <c r="AF22" s="25"/>
      <c r="AG22" s="25"/>
      <c r="AH22" s="25"/>
      <c r="AI22" s="1"/>
      <c r="AJ22" s="1"/>
      <c r="AK22" s="1"/>
      <c r="AL22" s="1"/>
      <c r="AM22" s="1"/>
      <c r="AN22" s="1"/>
      <c r="AO22" s="1"/>
      <c r="AP22" s="1"/>
    </row>
    <row r="23" spans="1:42" ht="16.5" x14ac:dyDescent="0.35">
      <c r="A23" s="47"/>
      <c r="B23" s="47"/>
      <c r="C23" s="60"/>
      <c r="D23" s="49"/>
      <c r="E23" s="46">
        <f>IF(D23 = "", 0, PUNTUALIDAD(D23,$M$9,#REF!))</f>
        <v>0</v>
      </c>
      <c r="F23" s="46">
        <f>IF(D23="",0,ASISTENCIA(D23,$M$10,#REF!))</f>
        <v>0</v>
      </c>
      <c r="G23" s="46">
        <f>IF(D23="",0,VALES(D23,$M$12,#REF!))</f>
        <v>0</v>
      </c>
      <c r="H23" s="46">
        <f>IF(D23 = "", 0, AHORRO(D23,$M$11,#REF!))</f>
        <v>0</v>
      </c>
      <c r="I23" s="91"/>
      <c r="J23" s="91"/>
      <c r="K23" s="91"/>
      <c r="L23" s="51"/>
      <c r="M23" s="74"/>
      <c r="N23" s="45"/>
      <c r="O23" s="72"/>
      <c r="P23" s="71"/>
      <c r="Q23" s="68"/>
      <c r="R23" s="48"/>
      <c r="S23" s="63"/>
      <c r="T23" s="52"/>
      <c r="U23" s="46" t="str">
        <f>IF(D23 = "", "",NETO(D23,E23,F23,G23,H23,I23,J23,K23,L23,N23,O23,Q23,#REF!,Y21))</f>
        <v/>
      </c>
      <c r="V23" s="65"/>
      <c r="W23" s="67"/>
      <c r="X23" s="65"/>
      <c r="Y23" s="35">
        <f>IFERROR(IF(#REF!="MENSUAL",ISR(D25,isr_mensual,subsidio_mensual),IF(#REF!="QUINCENAL",ISR(D25,isr_quincenal,subsidio_qunicenal),IF(#REF! = "SEMANAL",ISR(D25,isr_semanal,subsidio_semanal),ISR(D25,isr_catorcenal,subsidio_catorcenal)))),0)</f>
        <v>0</v>
      </c>
      <c r="Z23" s="25"/>
      <c r="AA23" s="25"/>
      <c r="AB23" s="25"/>
      <c r="AC23" s="25"/>
      <c r="AD23" s="25"/>
      <c r="AE23" s="25"/>
      <c r="AF23" s="25"/>
      <c r="AG23" s="25"/>
      <c r="AH23" s="25"/>
      <c r="AI23" s="1"/>
      <c r="AJ23" s="1"/>
      <c r="AK23" s="1"/>
      <c r="AL23" s="1"/>
      <c r="AM23" s="1"/>
      <c r="AN23" s="1"/>
      <c r="AO23" s="1"/>
      <c r="AP23" s="1"/>
    </row>
    <row r="24" spans="1:42" ht="16.5" x14ac:dyDescent="0.35">
      <c r="A24" s="47"/>
      <c r="B24" s="47"/>
      <c r="C24" s="60"/>
      <c r="D24" s="49"/>
      <c r="E24" s="46">
        <f>IF(D24 = "", 0, PUNTUALIDAD(D24,$M$9,#REF!))</f>
        <v>0</v>
      </c>
      <c r="F24" s="46">
        <f>IF(D24="",0,ASISTENCIA(D24,$M$10,#REF!))</f>
        <v>0</v>
      </c>
      <c r="G24" s="46">
        <f>IF(D24="",0,VALES(D24,$M$12,#REF!))</f>
        <v>0</v>
      </c>
      <c r="H24" s="46">
        <f>IF(D24 = "", 0, AHORRO(D24,$M$11,#REF!))</f>
        <v>0</v>
      </c>
      <c r="I24" s="91"/>
      <c r="J24" s="91"/>
      <c r="K24" s="91"/>
      <c r="L24" s="51"/>
      <c r="M24" s="74"/>
      <c r="N24" s="45"/>
      <c r="O24" s="72"/>
      <c r="P24" s="71"/>
      <c r="Q24" s="68"/>
      <c r="R24" s="48"/>
      <c r="S24" s="63"/>
      <c r="T24" s="52"/>
      <c r="U24" s="46" t="str">
        <f>IF(D24 = "", "",NETO(D24,E24,F24,G24,H24,I24,J24,K24,L24,N24,O24,Q24,#REF!,Y22))</f>
        <v/>
      </c>
      <c r="V24" s="65"/>
      <c r="W24" s="67"/>
      <c r="X24" s="65"/>
      <c r="Y24" s="35">
        <f>IFERROR(IF(#REF!="MENSUAL",ISR(D26,isr_mensual,subsidio_mensual),IF(#REF!="QUINCENAL",ISR(D26,isr_quincenal,subsidio_qunicenal),IF(#REF! = "SEMANAL",ISR(D26,isr_semanal,subsidio_semanal),ISR(D26,isr_catorcenal,subsidio_catorcenal)))),0)</f>
        <v>0</v>
      </c>
      <c r="Z24" s="25"/>
      <c r="AA24" s="25"/>
      <c r="AB24" s="25"/>
      <c r="AC24" s="25"/>
      <c r="AD24" s="25"/>
      <c r="AE24" s="25"/>
      <c r="AF24" s="25"/>
      <c r="AG24" s="25"/>
      <c r="AH24" s="25"/>
      <c r="AI24" s="1"/>
      <c r="AJ24" s="1"/>
      <c r="AK24" s="1"/>
      <c r="AL24" s="1"/>
      <c r="AM24" s="1"/>
      <c r="AN24" s="1"/>
      <c r="AO24" s="1"/>
      <c r="AP24" s="1"/>
    </row>
    <row r="25" spans="1:42" ht="16.5" x14ac:dyDescent="0.35">
      <c r="A25" s="47"/>
      <c r="B25" s="47"/>
      <c r="C25" s="60"/>
      <c r="D25" s="49"/>
      <c r="E25" s="46">
        <f>IF(D25 = "", 0, PUNTUALIDAD(D25,$M$9,#REF!))</f>
        <v>0</v>
      </c>
      <c r="F25" s="46">
        <f>IF(D25="",0,ASISTENCIA(D25,$M$10,#REF!))</f>
        <v>0</v>
      </c>
      <c r="G25" s="46">
        <f>IF(D25="",0,VALES(D25,$M$12,#REF!))</f>
        <v>0</v>
      </c>
      <c r="H25" s="46">
        <f>IF(D25 = "", 0, AHORRO(D25,$M$11,#REF!))</f>
        <v>0</v>
      </c>
      <c r="I25" s="91"/>
      <c r="J25" s="91"/>
      <c r="K25" s="91"/>
      <c r="L25" s="51"/>
      <c r="M25" s="74"/>
      <c r="N25" s="45"/>
      <c r="O25" s="72"/>
      <c r="P25" s="71"/>
      <c r="Q25" s="68"/>
      <c r="R25" s="48"/>
      <c r="S25" s="63"/>
      <c r="T25" s="52"/>
      <c r="U25" s="46" t="str">
        <f>IF(D25 = "", "",NETO(D25,E25,F25,G25,H25,I25,J25,K25,L25,N25,O25,Q25,#REF!,Y23))</f>
        <v/>
      </c>
      <c r="V25" s="65"/>
      <c r="W25" s="67"/>
      <c r="X25" s="65"/>
      <c r="Y25" s="35">
        <f>IFERROR(IF(#REF!="MENSUAL",ISR(D27,isr_mensual,subsidio_mensual),IF(#REF!="QUINCENAL",ISR(D27,isr_quincenal,subsidio_qunicenal),IF(#REF! = "SEMANAL",ISR(D27,isr_semanal,subsidio_semanal),ISR(D27,isr_catorcenal,subsidio_catorcenal)))),0)</f>
        <v>0</v>
      </c>
      <c r="Z25" s="25"/>
      <c r="AA25" s="25"/>
      <c r="AB25" s="25"/>
      <c r="AC25" s="25"/>
      <c r="AD25" s="25"/>
      <c r="AE25" s="25"/>
      <c r="AF25" s="25"/>
      <c r="AG25" s="25"/>
      <c r="AH25" s="25"/>
      <c r="AI25" s="1"/>
      <c r="AJ25" s="1"/>
      <c r="AK25" s="1"/>
      <c r="AL25" s="1"/>
      <c r="AM25" s="1"/>
      <c r="AN25" s="1"/>
      <c r="AO25" s="1"/>
      <c r="AP25" s="1"/>
    </row>
    <row r="26" spans="1:42" ht="16.5" x14ac:dyDescent="0.35">
      <c r="A26" s="47"/>
      <c r="B26" s="47"/>
      <c r="C26" s="60"/>
      <c r="D26" s="49"/>
      <c r="E26" s="46">
        <f>IF(D26 = "", 0, PUNTUALIDAD(D26,$M$9,#REF!))</f>
        <v>0</v>
      </c>
      <c r="F26" s="46">
        <f>IF(D26="",0,ASISTENCIA(D26,$M$10,#REF!))</f>
        <v>0</v>
      </c>
      <c r="G26" s="46">
        <f>IF(D26="",0,VALES(D26,$M$12,#REF!))</f>
        <v>0</v>
      </c>
      <c r="H26" s="46">
        <f>IF(D26 = "", 0, AHORRO(D26,$M$11,#REF!))</f>
        <v>0</v>
      </c>
      <c r="I26" s="91"/>
      <c r="J26" s="91"/>
      <c r="K26" s="91"/>
      <c r="L26" s="51"/>
      <c r="M26" s="74"/>
      <c r="N26" s="45"/>
      <c r="O26" s="72"/>
      <c r="P26" s="71"/>
      <c r="Q26" s="68"/>
      <c r="R26" s="48"/>
      <c r="S26" s="63"/>
      <c r="T26" s="52"/>
      <c r="U26" s="46" t="str">
        <f>IF(D26 = "", "",NETO(D26,E26,F26,G26,H26,I26,J26,K26,L26,N26,O26,Q26,#REF!,Y24))</f>
        <v/>
      </c>
      <c r="V26" s="65"/>
      <c r="W26" s="67"/>
      <c r="X26" s="65"/>
      <c r="Y26" s="35">
        <f>IFERROR(IF(#REF!="MENSUAL",ISR(D28,isr_mensual,subsidio_mensual),IF(#REF!="QUINCENAL",ISR(D28,isr_quincenal,subsidio_qunicenal),IF(#REF! = "SEMANAL",ISR(D28,isr_semanal,subsidio_semanal),ISR(D28,isr_catorcenal,subsidio_catorcenal)))),0)</f>
        <v>0</v>
      </c>
      <c r="Z26" s="25"/>
      <c r="AA26" s="25"/>
      <c r="AB26" s="25"/>
      <c r="AC26" s="25"/>
      <c r="AD26" s="25"/>
      <c r="AE26" s="25"/>
      <c r="AF26" s="25"/>
      <c r="AG26" s="25"/>
      <c r="AH26" s="25"/>
      <c r="AI26" s="1"/>
      <c r="AJ26" s="1"/>
      <c r="AK26" s="1"/>
      <c r="AL26" s="1"/>
      <c r="AM26" s="1"/>
      <c r="AN26" s="1"/>
      <c r="AO26" s="1"/>
      <c r="AP26" s="1"/>
    </row>
    <row r="27" spans="1:42" ht="16.5" x14ac:dyDescent="0.35">
      <c r="A27" s="47"/>
      <c r="B27" s="47"/>
      <c r="C27" s="60"/>
      <c r="D27" s="49"/>
      <c r="E27" s="46">
        <f>IF(D27 = "", 0, PUNTUALIDAD(D27,$M$9,#REF!))</f>
        <v>0</v>
      </c>
      <c r="F27" s="46">
        <f>IF(D27="",0,ASISTENCIA(D27,$M$10,#REF!))</f>
        <v>0</v>
      </c>
      <c r="G27" s="46">
        <f>IF(D27="",0,VALES(D27,$M$12,#REF!))</f>
        <v>0</v>
      </c>
      <c r="H27" s="46">
        <f>IF(D27 = "", 0, AHORRO(D27,$M$11,#REF!))</f>
        <v>0</v>
      </c>
      <c r="I27" s="91"/>
      <c r="J27" s="91"/>
      <c r="K27" s="91"/>
      <c r="L27" s="51"/>
      <c r="M27" s="74"/>
      <c r="N27" s="45"/>
      <c r="O27" s="72"/>
      <c r="P27" s="71"/>
      <c r="Q27" s="68"/>
      <c r="R27" s="48"/>
      <c r="S27" s="63"/>
      <c r="T27" s="52"/>
      <c r="U27" s="46" t="str">
        <f>IF(D27 = "", "",NETO(D27,E27,F27,G27,H27,I27,J27,K27,L27,N27,O27,Q27,#REF!,Y25))</f>
        <v/>
      </c>
      <c r="V27" s="65"/>
      <c r="W27" s="67"/>
      <c r="X27" s="65"/>
      <c r="Y27" s="35">
        <f>IFERROR(IF(#REF!="MENSUAL",ISR(D29,isr_mensual,subsidio_mensual),IF(#REF!="QUINCENAL",ISR(D29,isr_quincenal,subsidio_qunicenal),IF(#REF! = "SEMANAL",ISR(D29,isr_semanal,subsidio_semanal),ISR(D29,isr_catorcenal,subsidio_catorcenal)))),0)</f>
        <v>0</v>
      </c>
      <c r="Z27" s="25"/>
      <c r="AA27" s="25"/>
      <c r="AB27" s="25"/>
      <c r="AC27" s="25"/>
      <c r="AD27" s="25"/>
      <c r="AE27" s="25"/>
      <c r="AF27" s="25"/>
      <c r="AG27" s="25"/>
      <c r="AH27" s="25"/>
      <c r="AI27" s="1"/>
      <c r="AJ27" s="1"/>
      <c r="AK27" s="1"/>
      <c r="AL27" s="1"/>
      <c r="AM27" s="1"/>
      <c r="AN27" s="1"/>
      <c r="AO27" s="1"/>
      <c r="AP27" s="1"/>
    </row>
    <row r="28" spans="1:42" ht="16.5" x14ac:dyDescent="0.35">
      <c r="A28" s="47"/>
      <c r="B28" s="47"/>
      <c r="C28" s="60"/>
      <c r="D28" s="49"/>
      <c r="E28" s="46">
        <f>IF(D28 = "", 0, PUNTUALIDAD(D28,$M$9,#REF!))</f>
        <v>0</v>
      </c>
      <c r="F28" s="46">
        <f>IF(D28="",0,ASISTENCIA(D28,$M$10,#REF!))</f>
        <v>0</v>
      </c>
      <c r="G28" s="46">
        <f>IF(D28="",0,VALES(D28,$M$12,#REF!))</f>
        <v>0</v>
      </c>
      <c r="H28" s="46">
        <f>IF(D28 = "", 0, AHORRO(D28,$M$11,#REF!))</f>
        <v>0</v>
      </c>
      <c r="I28" s="91"/>
      <c r="J28" s="91"/>
      <c r="K28" s="91"/>
      <c r="L28" s="51"/>
      <c r="M28" s="74"/>
      <c r="N28" s="45"/>
      <c r="O28" s="72"/>
      <c r="P28" s="71"/>
      <c r="Q28" s="68"/>
      <c r="R28" s="48"/>
      <c r="S28" s="63"/>
      <c r="T28" s="52"/>
      <c r="U28" s="46" t="str">
        <f>IF(D28 = "", "",NETO(D28,E28,F28,G28,H28,I28,J28,K28,L28,N28,O28,Q28,#REF!,Y26))</f>
        <v/>
      </c>
      <c r="V28" s="65"/>
      <c r="W28" s="67"/>
      <c r="X28" s="65"/>
      <c r="Y28" s="35">
        <f>IFERROR(IF(#REF!="MENSUAL",ISR(D30,isr_mensual,subsidio_mensual),IF(#REF!="QUINCENAL",ISR(D30,isr_quincenal,subsidio_qunicenal),IF(#REF! = "SEMANAL",ISR(D30,isr_semanal,subsidio_semanal),ISR(D30,isr_catorcenal,subsidio_catorcenal)))),0)</f>
        <v>0</v>
      </c>
      <c r="Z28" s="25"/>
      <c r="AA28" s="25"/>
      <c r="AB28" s="25"/>
      <c r="AC28" s="25"/>
      <c r="AD28" s="25"/>
      <c r="AE28" s="25"/>
      <c r="AF28" s="25"/>
      <c r="AG28" s="25"/>
      <c r="AH28" s="25"/>
      <c r="AI28" s="1"/>
      <c r="AJ28" s="1"/>
      <c r="AK28" s="1"/>
      <c r="AL28" s="1"/>
      <c r="AM28" s="1"/>
      <c r="AN28" s="1"/>
      <c r="AO28" s="1"/>
      <c r="AP28" s="1"/>
    </row>
    <row r="29" spans="1:42" ht="16.5" x14ac:dyDescent="0.35">
      <c r="A29" s="47"/>
      <c r="B29" s="47"/>
      <c r="C29" s="60"/>
      <c r="D29" s="49"/>
      <c r="E29" s="46">
        <f>IF(D29 = "", 0, PUNTUALIDAD(D29,$M$9,#REF!))</f>
        <v>0</v>
      </c>
      <c r="F29" s="46">
        <f>IF(D29="",0,ASISTENCIA(D29,$M$10,#REF!))</f>
        <v>0</v>
      </c>
      <c r="G29" s="46">
        <f>IF(D29="",0,VALES(D29,$M$12,#REF!))</f>
        <v>0</v>
      </c>
      <c r="H29" s="46">
        <f>IF(D29 = "", 0, AHORRO(D29,$M$11,#REF!))</f>
        <v>0</v>
      </c>
      <c r="I29" s="91"/>
      <c r="J29" s="91"/>
      <c r="K29" s="91"/>
      <c r="L29" s="51"/>
      <c r="M29" s="74"/>
      <c r="N29" s="45"/>
      <c r="O29" s="72"/>
      <c r="P29" s="71"/>
      <c r="Q29" s="68"/>
      <c r="R29" s="48"/>
      <c r="S29" s="63"/>
      <c r="T29" s="52"/>
      <c r="U29" s="46" t="str">
        <f>IF(D29 = "", "",NETO(D29,E29,F29,G29,H29,I29,J29,K29,L29,N29,O29,Q29,#REF!,Y27))</f>
        <v/>
      </c>
      <c r="V29" s="65"/>
      <c r="W29" s="67"/>
      <c r="X29" s="65"/>
      <c r="Y29" s="35">
        <f>IFERROR(IF(#REF!="MENSUAL",ISR(D31,isr_mensual,subsidio_mensual),IF(#REF!="QUINCENAL",ISR(D31,isr_quincenal,subsidio_qunicenal),IF(#REF! = "SEMANAL",ISR(D31,isr_semanal,subsidio_semanal),ISR(D31,isr_catorcenal,subsidio_catorcenal)))),0)</f>
        <v>0</v>
      </c>
      <c r="Z29" s="25"/>
      <c r="AA29" s="25"/>
      <c r="AB29" s="25"/>
      <c r="AC29" s="25"/>
      <c r="AD29" s="25"/>
      <c r="AE29" s="25"/>
      <c r="AF29" s="25"/>
      <c r="AG29" s="25"/>
      <c r="AH29" s="25"/>
      <c r="AI29" s="1"/>
      <c r="AJ29" s="1"/>
      <c r="AK29" s="1"/>
      <c r="AL29" s="1"/>
      <c r="AM29" s="1"/>
      <c r="AN29" s="1"/>
      <c r="AO29" s="1"/>
      <c r="AP29" s="1"/>
    </row>
    <row r="30" spans="1:42" ht="16.5" x14ac:dyDescent="0.35">
      <c r="A30" s="47"/>
      <c r="B30" s="47"/>
      <c r="C30" s="60"/>
      <c r="D30" s="49"/>
      <c r="E30" s="46">
        <f>IF(D30 = "", 0, PUNTUALIDAD(D30,$M$9,#REF!))</f>
        <v>0</v>
      </c>
      <c r="F30" s="46">
        <f>IF(D30="",0,ASISTENCIA(D30,$M$10,#REF!))</f>
        <v>0</v>
      </c>
      <c r="G30" s="46">
        <f>IF(D30="",0,VALES(D30,$M$12,#REF!))</f>
        <v>0</v>
      </c>
      <c r="H30" s="46">
        <f>IF(D30 = "", 0, AHORRO(D30,$M$11,#REF!))</f>
        <v>0</v>
      </c>
      <c r="I30" s="91"/>
      <c r="J30" s="91"/>
      <c r="K30" s="91"/>
      <c r="L30" s="51"/>
      <c r="M30" s="74"/>
      <c r="N30" s="45"/>
      <c r="O30" s="72"/>
      <c r="P30" s="71"/>
      <c r="Q30" s="68"/>
      <c r="R30" s="48"/>
      <c r="S30" s="63"/>
      <c r="T30" s="52"/>
      <c r="U30" s="46" t="str">
        <f>IF(D30 = "", "",NETO(D30,E30,F30,G30,H30,I30,J30,K30,L30,N30,O30,Q30,#REF!,Y28))</f>
        <v/>
      </c>
      <c r="V30" s="65"/>
      <c r="W30" s="67"/>
      <c r="X30" s="65"/>
      <c r="Y30" s="35">
        <f>IFERROR(IF(#REF!="MENSUAL",ISR(D32,isr_mensual,subsidio_mensual),IF(#REF!="QUINCENAL",ISR(D32,isr_quincenal,subsidio_qunicenal),IF(#REF! = "SEMANAL",ISR(D32,isr_semanal,subsidio_semanal),ISR(D32,isr_catorcenal,subsidio_catorcenal)))),0)</f>
        <v>0</v>
      </c>
      <c r="Z30" s="25"/>
      <c r="AA30" s="25"/>
      <c r="AB30" s="25"/>
      <c r="AC30" s="25"/>
      <c r="AD30" s="25"/>
      <c r="AE30" s="25"/>
      <c r="AF30" s="25"/>
      <c r="AG30" s="25"/>
      <c r="AH30" s="25"/>
      <c r="AI30" s="1"/>
      <c r="AJ30" s="1"/>
      <c r="AK30" s="1"/>
      <c r="AL30" s="1"/>
      <c r="AM30" s="1"/>
      <c r="AN30" s="1"/>
      <c r="AO30" s="1"/>
      <c r="AP30" s="1"/>
    </row>
    <row r="31" spans="1:42" ht="16.5" x14ac:dyDescent="0.35">
      <c r="A31" s="47"/>
      <c r="B31" s="47"/>
      <c r="C31" s="60"/>
      <c r="D31" s="49"/>
      <c r="E31" s="46">
        <f>IF(D31 = "", 0, PUNTUALIDAD(D31,$M$9,#REF!))</f>
        <v>0</v>
      </c>
      <c r="F31" s="46">
        <f>IF(D31="",0,ASISTENCIA(D31,$M$10,#REF!))</f>
        <v>0</v>
      </c>
      <c r="G31" s="46">
        <f>IF(D31="",0,VALES(D31,$M$12,#REF!))</f>
        <v>0</v>
      </c>
      <c r="H31" s="46">
        <f>IF(D31 = "", 0, AHORRO(D31,$M$11,#REF!))</f>
        <v>0</v>
      </c>
      <c r="I31" s="91"/>
      <c r="J31" s="91"/>
      <c r="K31" s="91"/>
      <c r="L31" s="51"/>
      <c r="M31" s="74"/>
      <c r="N31" s="45"/>
      <c r="O31" s="72"/>
      <c r="P31" s="71"/>
      <c r="Q31" s="68"/>
      <c r="R31" s="48"/>
      <c r="S31" s="63"/>
      <c r="T31" s="52"/>
      <c r="U31" s="46" t="str">
        <f>IF(D31 = "", "",NETO(D31,E31,F31,G31,H31,I31,J31,K31,L31,N31,O31,Q31,#REF!,Y29))</f>
        <v/>
      </c>
      <c r="V31" s="65"/>
      <c r="W31" s="67"/>
      <c r="X31" s="65"/>
      <c r="Y31" s="35">
        <f>IFERROR(IF(#REF!="MENSUAL",ISR(D33,isr_mensual,subsidio_mensual),IF(#REF!="QUINCENAL",ISR(D33,isr_quincenal,subsidio_qunicenal),IF(#REF! = "SEMANAL",ISR(D33,isr_semanal,subsidio_semanal),ISR(D33,isr_catorcenal,subsidio_catorcenal)))),0)</f>
        <v>0</v>
      </c>
      <c r="Z31" s="25"/>
      <c r="AA31" s="25"/>
      <c r="AB31" s="25"/>
      <c r="AC31" s="25"/>
      <c r="AD31" s="25"/>
      <c r="AE31" s="25"/>
      <c r="AF31" s="25"/>
      <c r="AG31" s="25"/>
      <c r="AH31" s="25"/>
      <c r="AI31" s="1"/>
      <c r="AJ31" s="1"/>
      <c r="AK31" s="1"/>
      <c r="AL31" s="1"/>
      <c r="AM31" s="1"/>
      <c r="AN31" s="1"/>
      <c r="AO31" s="1"/>
      <c r="AP31" s="1"/>
    </row>
    <row r="32" spans="1:42" ht="16.5" x14ac:dyDescent="0.35">
      <c r="A32" s="47"/>
      <c r="B32" s="47"/>
      <c r="C32" s="60"/>
      <c r="D32" s="49"/>
      <c r="E32" s="46">
        <f>IF(D32 = "", 0, PUNTUALIDAD(D32,$M$9,#REF!))</f>
        <v>0</v>
      </c>
      <c r="F32" s="46">
        <f>IF(D32="",0,ASISTENCIA(D32,$M$10,#REF!))</f>
        <v>0</v>
      </c>
      <c r="G32" s="46">
        <f>IF(D32="",0,VALES(D32,$M$12,#REF!))</f>
        <v>0</v>
      </c>
      <c r="H32" s="46">
        <f>IF(D32 = "", 0, AHORRO(D32,$M$11,#REF!))</f>
        <v>0</v>
      </c>
      <c r="I32" s="91"/>
      <c r="J32" s="91"/>
      <c r="K32" s="91"/>
      <c r="L32" s="51"/>
      <c r="M32" s="74"/>
      <c r="N32" s="45"/>
      <c r="O32" s="72"/>
      <c r="P32" s="71"/>
      <c r="Q32" s="68"/>
      <c r="R32" s="48"/>
      <c r="S32" s="63"/>
      <c r="T32" s="52"/>
      <c r="U32" s="46" t="str">
        <f>IF(D32 = "", "",NETO(D32,E32,F32,G32,H32,I32,J32,K32,L32,N32,O32,Q32,#REF!,Y30))</f>
        <v/>
      </c>
      <c r="V32" s="65"/>
      <c r="W32" s="67"/>
      <c r="X32" s="65"/>
      <c r="Y32" s="35">
        <f>IFERROR(IF(#REF!="MENSUAL",ISR(D34,isr_mensual,subsidio_mensual),IF(#REF!="QUINCENAL",ISR(D34,isr_quincenal,subsidio_qunicenal),IF(#REF! = "SEMANAL",ISR(D34,isr_semanal,subsidio_semanal),ISR(D34,isr_catorcenal,subsidio_catorcenal)))),0)</f>
        <v>0</v>
      </c>
      <c r="Z32" s="25"/>
      <c r="AA32" s="25"/>
      <c r="AB32" s="25"/>
      <c r="AC32" s="25"/>
      <c r="AD32" s="25"/>
      <c r="AE32" s="25"/>
      <c r="AF32" s="25"/>
      <c r="AG32" s="25"/>
      <c r="AH32" s="25"/>
      <c r="AI32" s="1"/>
      <c r="AJ32" s="1"/>
      <c r="AK32" s="1"/>
      <c r="AL32" s="1"/>
      <c r="AM32" s="1"/>
      <c r="AN32" s="1"/>
      <c r="AO32" s="1"/>
      <c r="AP32" s="1"/>
    </row>
    <row r="33" spans="1:42" ht="16.5" x14ac:dyDescent="0.35">
      <c r="A33" s="47"/>
      <c r="B33" s="47"/>
      <c r="C33" s="60"/>
      <c r="D33" s="49"/>
      <c r="E33" s="46">
        <f>IF(D33 = "", 0, PUNTUALIDAD(D33,$M$9,#REF!))</f>
        <v>0</v>
      </c>
      <c r="F33" s="46">
        <f>IF(D33="",0,ASISTENCIA(D33,$M$10,#REF!))</f>
        <v>0</v>
      </c>
      <c r="G33" s="46">
        <f>IF(D33="",0,VALES(D33,$M$12,#REF!))</f>
        <v>0</v>
      </c>
      <c r="H33" s="46">
        <f>IF(D33 = "", 0, AHORRO(D33,$M$11,#REF!))</f>
        <v>0</v>
      </c>
      <c r="I33" s="91"/>
      <c r="J33" s="91"/>
      <c r="K33" s="91"/>
      <c r="L33" s="51"/>
      <c r="M33" s="74"/>
      <c r="N33" s="45"/>
      <c r="O33" s="72"/>
      <c r="P33" s="71"/>
      <c r="Q33" s="68"/>
      <c r="R33" s="48"/>
      <c r="S33" s="63"/>
      <c r="T33" s="52"/>
      <c r="U33" s="46" t="str">
        <f>IF(D33 = "", "",NETO(D33,E33,F33,G33,H33,I33,J33,K33,L33,N33,O33,Q33,#REF!,Y31))</f>
        <v/>
      </c>
      <c r="V33" s="65"/>
      <c r="W33" s="67"/>
      <c r="X33" s="65"/>
      <c r="Y33" s="40">
        <f>IFERROR(IF(#REF!="MENSUAL",ISR(D35,isr_mensual,subsidio_mensual),IF(#REF!="QUINCENAL",ISR(D35,isr_quincenal,subsidio_qunicenal),IF(#REF! = "SEMANAL",ISR(D35,isr_semanal,subsidio_semanal),ISR(D35,isr_catorcenal,subsidio_catorcenal)))),0)</f>
        <v>0</v>
      </c>
      <c r="Z33" s="25"/>
      <c r="AA33" s="25"/>
      <c r="AB33" s="25"/>
      <c r="AC33" s="25"/>
      <c r="AD33" s="25"/>
      <c r="AE33" s="25"/>
      <c r="AF33" s="25"/>
      <c r="AG33" s="25"/>
      <c r="AH33" s="25"/>
      <c r="AI33" s="1"/>
      <c r="AJ33" s="1"/>
      <c r="AK33" s="1"/>
      <c r="AL33" s="1"/>
      <c r="AM33" s="1"/>
      <c r="AN33" s="1"/>
      <c r="AO33" s="1"/>
      <c r="AP33" s="1"/>
    </row>
    <row r="34" spans="1:42" ht="16.5" x14ac:dyDescent="0.35">
      <c r="A34" s="47"/>
      <c r="B34" s="47"/>
      <c r="C34" s="60"/>
      <c r="D34" s="49"/>
      <c r="E34" s="46">
        <f>IF(D34 = "", 0, PUNTUALIDAD(D34,$M$9,#REF!))</f>
        <v>0</v>
      </c>
      <c r="F34" s="46">
        <f>IF(D34="",0,ASISTENCIA(D34,$M$10,#REF!))</f>
        <v>0</v>
      </c>
      <c r="G34" s="46">
        <f>IF(D34="",0,VALES(D34,$M$12,#REF!))</f>
        <v>0</v>
      </c>
      <c r="H34" s="46">
        <f>IF(D34 = "", 0, AHORRO(D34,$M$11,#REF!))</f>
        <v>0</v>
      </c>
      <c r="I34" s="91"/>
      <c r="J34" s="91"/>
      <c r="K34" s="91"/>
      <c r="L34" s="51"/>
      <c r="M34" s="74"/>
      <c r="N34" s="45"/>
      <c r="O34" s="72"/>
      <c r="P34" s="71"/>
      <c r="Q34" s="68"/>
      <c r="R34" s="48"/>
      <c r="S34" s="63"/>
      <c r="T34" s="52"/>
      <c r="U34" s="46" t="str">
        <f>IF(D34 = "", "",NETO(D34,E34,F34,G34,H34,I34,J34,K34,L34,N34,O34,Q34,#REF!,Y32))</f>
        <v/>
      </c>
      <c r="V34" s="65"/>
      <c r="W34" s="67"/>
      <c r="X34" s="65"/>
      <c r="Y34" s="40">
        <f>IFERROR(IF(#REF!="MENSUAL",ISR(D36,isr_mensual,subsidio_mensual),IF(#REF!="QUINCENAL",ISR(D36,isr_quincenal,subsidio_qunicenal),IF(#REF! = "SEMANAL",ISR(D36,isr_semanal,subsidio_semanal),ISR(D36,isr_catorcenal,subsidio_catorcenal)))),0)</f>
        <v>0</v>
      </c>
      <c r="Z34" s="25"/>
      <c r="AA34" s="25"/>
      <c r="AB34" s="25"/>
      <c r="AC34" s="25"/>
      <c r="AD34" s="25"/>
      <c r="AE34" s="25"/>
      <c r="AF34" s="25"/>
      <c r="AG34" s="25"/>
      <c r="AH34" s="25"/>
      <c r="AI34" s="1"/>
      <c r="AJ34" s="1"/>
      <c r="AK34" s="1"/>
      <c r="AL34" s="1"/>
      <c r="AM34" s="1"/>
      <c r="AN34" s="1"/>
      <c r="AO34" s="1"/>
      <c r="AP34" s="1"/>
    </row>
    <row r="35" spans="1:42" ht="16.5" x14ac:dyDescent="0.35">
      <c r="A35" s="47"/>
      <c r="B35" s="47"/>
      <c r="C35" s="60"/>
      <c r="D35" s="49"/>
      <c r="E35" s="46">
        <f>IF(D35 = "", 0, PUNTUALIDAD(D35,$M$9,#REF!))</f>
        <v>0</v>
      </c>
      <c r="F35" s="46">
        <f>IF(D35="",0,ASISTENCIA(D35,$M$10,#REF!))</f>
        <v>0</v>
      </c>
      <c r="G35" s="46">
        <f>IF(D35="",0,VALES(D35,$M$12,#REF!))</f>
        <v>0</v>
      </c>
      <c r="H35" s="46">
        <f>IF(D35 = "", 0, AHORRO(D35,$M$11,#REF!))</f>
        <v>0</v>
      </c>
      <c r="I35" s="91"/>
      <c r="J35" s="91"/>
      <c r="K35" s="91"/>
      <c r="L35" s="51"/>
      <c r="M35" s="74"/>
      <c r="N35" s="45"/>
      <c r="O35" s="72"/>
      <c r="P35" s="71"/>
      <c r="Q35" s="68"/>
      <c r="R35" s="48"/>
      <c r="S35" s="63"/>
      <c r="T35" s="52"/>
      <c r="U35" s="46" t="str">
        <f>IF(D35 = "", "",NETO(D35,E35,F35,G35,H35,I35,J35,K35,L35,N35,O35,Q35,#REF!,Y33))</f>
        <v/>
      </c>
      <c r="V35" s="65"/>
      <c r="W35" s="67"/>
      <c r="X35" s="65"/>
      <c r="Y35" s="40">
        <f>IFERROR(IF(#REF!="MENSUAL",ISR(D37,isr_mensual,subsidio_mensual),IF(#REF!="QUINCENAL",ISR(D37,isr_quincenal,subsidio_qunicenal),IF(#REF! = "SEMANAL",ISR(D37,isr_semanal,subsidio_semanal),ISR(D37,isr_catorcenal,subsidio_catorcenal)))),0)</f>
        <v>0</v>
      </c>
      <c r="Z35" s="25"/>
      <c r="AA35" s="25"/>
      <c r="AB35" s="25"/>
      <c r="AC35" s="25"/>
      <c r="AD35" s="25"/>
      <c r="AE35" s="25"/>
      <c r="AF35" s="25"/>
      <c r="AG35" s="25"/>
      <c r="AH35" s="25"/>
      <c r="AI35" s="1"/>
      <c r="AJ35" s="1"/>
      <c r="AK35" s="1"/>
      <c r="AL35" s="1"/>
      <c r="AM35" s="1"/>
      <c r="AN35" s="1"/>
      <c r="AO35" s="1"/>
      <c r="AP35" s="1"/>
    </row>
    <row r="36" spans="1:42" ht="16.5" x14ac:dyDescent="0.35">
      <c r="A36" s="47"/>
      <c r="B36" s="47"/>
      <c r="C36" s="60"/>
      <c r="D36" s="49"/>
      <c r="E36" s="46">
        <f>IF(D36 = "", 0, PUNTUALIDAD(D36,$M$9,#REF!))</f>
        <v>0</v>
      </c>
      <c r="F36" s="46">
        <f>IF(D36="",0,ASISTENCIA(D36,$M$10,#REF!))</f>
        <v>0</v>
      </c>
      <c r="G36" s="46">
        <f>IF(D36="",0,VALES(D36,$M$12,#REF!))</f>
        <v>0</v>
      </c>
      <c r="H36" s="46">
        <f>IF(D36 = "", 0, AHORRO(D36,$M$11,#REF!))</f>
        <v>0</v>
      </c>
      <c r="I36" s="91"/>
      <c r="J36" s="91"/>
      <c r="K36" s="91"/>
      <c r="L36" s="51"/>
      <c r="M36" s="74"/>
      <c r="N36" s="45"/>
      <c r="O36" s="72"/>
      <c r="P36" s="71"/>
      <c r="Q36" s="68"/>
      <c r="R36" s="48"/>
      <c r="S36" s="63"/>
      <c r="T36" s="52"/>
      <c r="U36" s="46" t="str">
        <f>IF(D36 = "", "",NETO(D36,E36,F36,G36,H36,I36,J36,K36,L36,N36,O36,Q36,#REF!,Y34))</f>
        <v/>
      </c>
      <c r="V36" s="65"/>
      <c r="W36" s="67"/>
      <c r="X36" s="65"/>
      <c r="Y36" s="40">
        <f>IFERROR(IF(#REF!="MENSUAL",ISR(D38,isr_mensual,subsidio_mensual),IF(#REF!="QUINCENAL",ISR(D38,isr_quincenal,subsidio_qunicenal),IF(#REF! = "SEMANAL",ISR(D38,isr_semanal,subsidio_semanal),ISR(D38,isr_catorcenal,subsidio_catorcenal)))),0)</f>
        <v>0</v>
      </c>
      <c r="Z36" s="25"/>
      <c r="AA36" s="25"/>
      <c r="AB36" s="25"/>
      <c r="AC36" s="25"/>
      <c r="AD36" s="25"/>
      <c r="AE36" s="25"/>
      <c r="AF36" s="25"/>
      <c r="AG36" s="25"/>
      <c r="AH36" s="25"/>
      <c r="AI36" s="1"/>
      <c r="AJ36" s="1"/>
      <c r="AK36" s="1"/>
      <c r="AL36" s="1"/>
      <c r="AM36" s="1"/>
      <c r="AN36" s="1"/>
      <c r="AO36" s="1"/>
      <c r="AP36" s="1"/>
    </row>
    <row r="37" spans="1:42" ht="16.5" x14ac:dyDescent="0.35">
      <c r="A37" s="47"/>
      <c r="B37" s="47"/>
      <c r="C37" s="60"/>
      <c r="D37" s="49"/>
      <c r="E37" s="46">
        <f>IF(D37 = "", 0, PUNTUALIDAD(D37,$M$9,#REF!))</f>
        <v>0</v>
      </c>
      <c r="F37" s="46">
        <f>IF(D37="",0,ASISTENCIA(D37,$M$10,#REF!))</f>
        <v>0</v>
      </c>
      <c r="G37" s="46">
        <f>IF(D37="",0,VALES(D37,$M$12,#REF!))</f>
        <v>0</v>
      </c>
      <c r="H37" s="46">
        <f>IF(D37 = "", 0, AHORRO(D37,$M$11,#REF!))</f>
        <v>0</v>
      </c>
      <c r="I37" s="91"/>
      <c r="J37" s="91"/>
      <c r="K37" s="91"/>
      <c r="L37" s="51"/>
      <c r="M37" s="74"/>
      <c r="N37" s="45"/>
      <c r="O37" s="72"/>
      <c r="P37" s="71"/>
      <c r="Q37" s="68"/>
      <c r="R37" s="48"/>
      <c r="S37" s="63"/>
      <c r="T37" s="52"/>
      <c r="U37" s="46" t="str">
        <f>IF(D37 = "", "",NETO(D37,E37,F37,G37,H37,I37,J37,K37,L37,N37,O37,Q37,#REF!,Y35))</f>
        <v/>
      </c>
      <c r="V37" s="65"/>
      <c r="W37" s="67"/>
      <c r="X37" s="65"/>
      <c r="Y37" s="40">
        <f>IFERROR(IF(#REF!="MENSUAL",ISR(D39,isr_mensual,subsidio_mensual),IF(#REF!="QUINCENAL",ISR(D39,isr_quincenal,subsidio_qunicenal),IF(#REF! = "SEMANAL",ISR(D39,isr_semanal,subsidio_semanal),ISR(D39,isr_catorcenal,subsidio_catorcenal)))),0)</f>
        <v>0</v>
      </c>
      <c r="Z37" s="25"/>
      <c r="AA37" s="25"/>
      <c r="AB37" s="25"/>
      <c r="AC37" s="25"/>
      <c r="AD37" s="25"/>
      <c r="AE37" s="25"/>
      <c r="AF37" s="25"/>
      <c r="AG37" s="25"/>
      <c r="AH37" s="25"/>
      <c r="AI37" s="1"/>
      <c r="AJ37" s="1"/>
      <c r="AK37" s="1"/>
      <c r="AL37" s="1"/>
      <c r="AM37" s="1"/>
      <c r="AN37" s="1"/>
      <c r="AO37" s="1"/>
      <c r="AP37" s="1"/>
    </row>
    <row r="38" spans="1:42" ht="16.5" x14ac:dyDescent="0.35">
      <c r="A38" s="47"/>
      <c r="B38" s="47"/>
      <c r="C38" s="60"/>
      <c r="D38" s="49"/>
      <c r="E38" s="46">
        <f>IF(D38 = "", 0, PUNTUALIDAD(D38,$M$9,#REF!))</f>
        <v>0</v>
      </c>
      <c r="F38" s="46">
        <f>IF(D38="",0,ASISTENCIA(D38,$M$10,#REF!))</f>
        <v>0</v>
      </c>
      <c r="G38" s="46">
        <f>IF(D38="",0,VALES(D38,$M$12,#REF!))</f>
        <v>0</v>
      </c>
      <c r="H38" s="46">
        <f>IF(D38 = "", 0, AHORRO(D38,$M$11,#REF!))</f>
        <v>0</v>
      </c>
      <c r="I38" s="91"/>
      <c r="J38" s="91"/>
      <c r="K38" s="91"/>
      <c r="L38" s="51"/>
      <c r="M38" s="74"/>
      <c r="N38" s="45"/>
      <c r="O38" s="72"/>
      <c r="P38" s="71"/>
      <c r="Q38" s="68"/>
      <c r="R38" s="48"/>
      <c r="S38" s="63"/>
      <c r="T38" s="52"/>
      <c r="U38" s="46" t="str">
        <f>IF(D38 = "", "",NETO(D38,E38,F38,G38,H38,I38,J38,K38,L38,N38,O38,Q38,#REF!,Y36))</f>
        <v/>
      </c>
      <c r="V38" s="65"/>
      <c r="W38" s="67"/>
      <c r="X38" s="65"/>
      <c r="Y38" s="40">
        <f>IFERROR(IF(#REF!="MENSUAL",ISR(D40,isr_mensual,subsidio_mensual),IF(#REF!="QUINCENAL",ISR(D40,isr_quincenal,subsidio_qunicenal),IF(#REF! = "SEMANAL",ISR(D40,isr_semanal,subsidio_semanal),ISR(D40,isr_catorcenal,subsidio_catorcenal)))),0)</f>
        <v>0</v>
      </c>
      <c r="Z38" s="25"/>
      <c r="AA38" s="25"/>
      <c r="AB38" s="25"/>
      <c r="AC38" s="25"/>
      <c r="AD38" s="25"/>
      <c r="AE38" s="25"/>
      <c r="AF38" s="25"/>
      <c r="AG38" s="25"/>
      <c r="AH38" s="25"/>
      <c r="AI38" s="1"/>
      <c r="AJ38" s="1"/>
      <c r="AK38" s="1"/>
      <c r="AL38" s="1"/>
      <c r="AM38" s="1"/>
      <c r="AN38" s="1"/>
      <c r="AO38" s="1"/>
      <c r="AP38" s="1"/>
    </row>
    <row r="39" spans="1:42" ht="16.5" x14ac:dyDescent="0.35">
      <c r="A39" s="47"/>
      <c r="B39" s="47"/>
      <c r="C39" s="60"/>
      <c r="D39" s="49"/>
      <c r="E39" s="46">
        <f>IF(D39 = "", 0, PUNTUALIDAD(D39,$M$9,#REF!))</f>
        <v>0</v>
      </c>
      <c r="F39" s="46">
        <f>IF(D39="",0,ASISTENCIA(D39,$M$10,#REF!))</f>
        <v>0</v>
      </c>
      <c r="G39" s="46">
        <f>IF(D39="",0,VALES(D39,$M$12,#REF!))</f>
        <v>0</v>
      </c>
      <c r="H39" s="46">
        <f>IF(D39 = "", 0, AHORRO(D39,$M$11,#REF!))</f>
        <v>0</v>
      </c>
      <c r="I39" s="91"/>
      <c r="J39" s="91"/>
      <c r="K39" s="91"/>
      <c r="L39" s="51"/>
      <c r="M39" s="74"/>
      <c r="N39" s="45"/>
      <c r="O39" s="72"/>
      <c r="P39" s="71"/>
      <c r="Q39" s="68"/>
      <c r="R39" s="48"/>
      <c r="S39" s="63"/>
      <c r="T39" s="52"/>
      <c r="U39" s="46" t="str">
        <f>IF(D39 = "", "",NETO(D39,E39,F39,G39,H39,I39,J39,K39,L39,N39,O39,Q39,#REF!,Y37))</f>
        <v/>
      </c>
      <c r="V39" s="65"/>
      <c r="W39" s="67"/>
      <c r="X39" s="65"/>
      <c r="Y39" s="40">
        <f>IFERROR(IF(#REF!="MENSUAL",ISR(D41,isr_mensual,subsidio_mensual),IF(#REF!="QUINCENAL",ISR(D41,isr_quincenal,subsidio_qunicenal),IF(#REF! = "SEMANAL",ISR(D41,isr_semanal,subsidio_semanal),ISR(D41,isr_catorcenal,subsidio_catorcenal)))),0)</f>
        <v>0</v>
      </c>
      <c r="Z39" s="25"/>
      <c r="AA39" s="25"/>
      <c r="AB39" s="25"/>
      <c r="AC39" s="25"/>
      <c r="AD39" s="25"/>
      <c r="AE39" s="25"/>
      <c r="AF39" s="25"/>
      <c r="AG39" s="25"/>
      <c r="AH39" s="25"/>
      <c r="AI39" s="1"/>
      <c r="AJ39" s="1"/>
      <c r="AK39" s="1"/>
      <c r="AL39" s="1"/>
      <c r="AM39" s="1"/>
      <c r="AN39" s="1"/>
      <c r="AO39" s="1"/>
      <c r="AP39" s="1"/>
    </row>
    <row r="40" spans="1:42" ht="16.5" x14ac:dyDescent="0.35">
      <c r="A40" s="47"/>
      <c r="B40" s="47"/>
      <c r="C40" s="60"/>
      <c r="D40" s="49"/>
      <c r="E40" s="46">
        <f>IF(D40 = "", 0, PUNTUALIDAD(D40,$M$9,#REF!))</f>
        <v>0</v>
      </c>
      <c r="F40" s="46">
        <f>IF(D40="",0,ASISTENCIA(D40,$M$10,#REF!))</f>
        <v>0</v>
      </c>
      <c r="G40" s="46">
        <f>IF(D40="",0,VALES(D40,$M$12,#REF!))</f>
        <v>0</v>
      </c>
      <c r="H40" s="46">
        <f>IF(D40 = "", 0, AHORRO(D40,$M$11,#REF!))</f>
        <v>0</v>
      </c>
      <c r="I40" s="91"/>
      <c r="J40" s="91"/>
      <c r="K40" s="91"/>
      <c r="L40" s="51"/>
      <c r="M40" s="74"/>
      <c r="N40" s="45"/>
      <c r="O40" s="72"/>
      <c r="P40" s="71"/>
      <c r="Q40" s="68"/>
      <c r="R40" s="48"/>
      <c r="S40" s="63"/>
      <c r="T40" s="52"/>
      <c r="U40" s="46" t="str">
        <f>IF(D40 = "", "",NETO(D40,E40,F40,G40,H40,I40,J40,K40,L40,N40,O40,Q40,#REF!,Y38))</f>
        <v/>
      </c>
      <c r="V40" s="65"/>
      <c r="W40" s="67"/>
      <c r="X40" s="65"/>
      <c r="Y40" s="40">
        <f>IFERROR(IF(#REF!="MENSUAL",ISR(D42,isr_mensual,subsidio_mensual),IF(#REF!="QUINCENAL",ISR(D42,isr_quincenal,subsidio_qunicenal),IF(#REF! = "SEMANAL",ISR(D42,isr_semanal,subsidio_semanal),ISR(D42,isr_catorcenal,subsidio_catorcenal)))),0)</f>
        <v>0</v>
      </c>
      <c r="Z40" s="25"/>
      <c r="AA40" s="25"/>
      <c r="AB40" s="25"/>
      <c r="AC40" s="25"/>
      <c r="AD40" s="25"/>
      <c r="AE40" s="25"/>
      <c r="AF40" s="25"/>
      <c r="AG40" s="25"/>
      <c r="AH40" s="25"/>
      <c r="AI40" s="1"/>
      <c r="AJ40" s="1"/>
      <c r="AK40" s="1"/>
      <c r="AL40" s="1"/>
      <c r="AM40" s="1"/>
      <c r="AN40" s="1"/>
      <c r="AO40" s="1"/>
      <c r="AP40" s="1"/>
    </row>
    <row r="41" spans="1:42" ht="16.5" x14ac:dyDescent="0.35">
      <c r="A41" s="47"/>
      <c r="B41" s="47"/>
      <c r="C41" s="60"/>
      <c r="D41" s="49"/>
      <c r="E41" s="46">
        <f>IF(D41 = "", 0, PUNTUALIDAD(D41,$M$9,#REF!))</f>
        <v>0</v>
      </c>
      <c r="F41" s="46">
        <f>IF(D41="",0,ASISTENCIA(D41,$M$10,#REF!))</f>
        <v>0</v>
      </c>
      <c r="G41" s="46">
        <f>IF(D41="",0,VALES(D41,$M$12,#REF!))</f>
        <v>0</v>
      </c>
      <c r="H41" s="46">
        <f>IF(D41 = "", 0, AHORRO(D41,$M$11,#REF!))</f>
        <v>0</v>
      </c>
      <c r="I41" s="91"/>
      <c r="J41" s="91"/>
      <c r="K41" s="91"/>
      <c r="L41" s="51"/>
      <c r="M41" s="74"/>
      <c r="N41" s="45"/>
      <c r="O41" s="72"/>
      <c r="P41" s="71"/>
      <c r="Q41" s="68"/>
      <c r="R41" s="48"/>
      <c r="S41" s="63"/>
      <c r="T41" s="52"/>
      <c r="U41" s="46" t="str">
        <f>IF(D41 = "", "",NETO(D41,E41,F41,G41,H41,I41,J41,K41,L41,N41,O41,Q41,#REF!,Y39))</f>
        <v/>
      </c>
      <c r="V41" s="65"/>
      <c r="W41" s="67"/>
      <c r="X41" s="65"/>
      <c r="Y41" s="40">
        <f>IFERROR(IF(#REF!="MENSUAL",ISR(D43,isr_mensual,subsidio_mensual),IF(#REF!="QUINCENAL",ISR(D43,isr_quincenal,subsidio_qunicenal),IF(#REF! = "SEMANAL",ISR(D43,isr_semanal,subsidio_semanal),ISR(D43,isr_catorcenal,subsidio_catorcenal)))),0)</f>
        <v>0</v>
      </c>
      <c r="Z41" s="25"/>
      <c r="AA41" s="25"/>
      <c r="AB41" s="25"/>
      <c r="AC41" s="25"/>
      <c r="AD41" s="25"/>
      <c r="AE41" s="25"/>
      <c r="AF41" s="25"/>
      <c r="AG41" s="25"/>
      <c r="AH41" s="25"/>
      <c r="AI41" s="1"/>
      <c r="AJ41" s="1"/>
      <c r="AK41" s="1"/>
      <c r="AL41" s="1"/>
      <c r="AM41" s="1"/>
      <c r="AN41" s="1"/>
      <c r="AO41" s="1"/>
      <c r="AP41" s="1"/>
    </row>
    <row r="42" spans="1:42" ht="16.5" x14ac:dyDescent="0.35">
      <c r="A42" s="47"/>
      <c r="B42" s="47"/>
      <c r="C42" s="60"/>
      <c r="D42" s="49"/>
      <c r="E42" s="46">
        <f>IF(D42 = "", 0, PUNTUALIDAD(D42,$M$9,#REF!))</f>
        <v>0</v>
      </c>
      <c r="F42" s="46">
        <f>IF(D42="",0,ASISTENCIA(D42,$M$10,#REF!))</f>
        <v>0</v>
      </c>
      <c r="G42" s="46">
        <f>IF(D42="",0,VALES(D42,$M$12,#REF!))</f>
        <v>0</v>
      </c>
      <c r="H42" s="46">
        <f>IF(D42 = "", 0, AHORRO(D42,$M$11,#REF!))</f>
        <v>0</v>
      </c>
      <c r="I42" s="91"/>
      <c r="J42" s="91"/>
      <c r="K42" s="91"/>
      <c r="L42" s="51"/>
      <c r="M42" s="74"/>
      <c r="N42" s="45"/>
      <c r="O42" s="72"/>
      <c r="P42" s="71"/>
      <c r="Q42" s="68"/>
      <c r="R42" s="48"/>
      <c r="S42" s="63"/>
      <c r="T42" s="52"/>
      <c r="U42" s="46" t="str">
        <f>IF(D42 = "", "",NETO(D42,E42,F42,G42,H42,I42,J42,K42,L42,N42,O42,Q42,#REF!,Y40))</f>
        <v/>
      </c>
      <c r="V42" s="65"/>
      <c r="W42" s="67"/>
      <c r="X42" s="65"/>
      <c r="Y42" s="40">
        <f>IFERROR(IF(#REF!="MENSUAL",ISR(D44,isr_mensual,subsidio_mensual),IF(#REF!="QUINCENAL",ISR(D44,isr_quincenal,subsidio_qunicenal),IF(#REF! = "SEMANAL",ISR(D44,isr_semanal,subsidio_semanal),ISR(D44,isr_catorcenal,subsidio_catorcenal)))),0)</f>
        <v>0</v>
      </c>
      <c r="Z42" s="25"/>
      <c r="AA42" s="25"/>
      <c r="AB42" s="25"/>
      <c r="AC42" s="25"/>
      <c r="AD42" s="25"/>
      <c r="AE42" s="25"/>
      <c r="AF42" s="25"/>
      <c r="AG42" s="25"/>
      <c r="AH42" s="25"/>
      <c r="AI42" s="1"/>
      <c r="AJ42" s="1"/>
      <c r="AK42" s="1"/>
      <c r="AL42" s="1"/>
      <c r="AM42" s="1"/>
      <c r="AN42" s="1"/>
      <c r="AO42" s="1"/>
      <c r="AP42" s="1"/>
    </row>
    <row r="43" spans="1:42" ht="16.5" x14ac:dyDescent="0.35">
      <c r="A43" s="47"/>
      <c r="B43" s="47"/>
      <c r="C43" s="60"/>
      <c r="D43" s="49"/>
      <c r="E43" s="46">
        <f>IF(D43 = "", 0, PUNTUALIDAD(D43,$M$9,#REF!))</f>
        <v>0</v>
      </c>
      <c r="F43" s="46">
        <f>IF(D43="",0,ASISTENCIA(D43,$M$10,#REF!))</f>
        <v>0</v>
      </c>
      <c r="G43" s="46">
        <f>IF(D43="",0,VALES(D43,$M$12,#REF!))</f>
        <v>0</v>
      </c>
      <c r="H43" s="46">
        <f>IF(D43 = "", 0, AHORRO(D43,$M$11,#REF!))</f>
        <v>0</v>
      </c>
      <c r="I43" s="91"/>
      <c r="J43" s="91"/>
      <c r="K43" s="91"/>
      <c r="L43" s="51"/>
      <c r="M43" s="74"/>
      <c r="N43" s="45"/>
      <c r="O43" s="72"/>
      <c r="P43" s="71"/>
      <c r="Q43" s="68"/>
      <c r="R43" s="48"/>
      <c r="S43" s="63"/>
      <c r="T43" s="52"/>
      <c r="U43" s="46" t="str">
        <f>IF(D43 = "", "",NETO(D43,E43,F43,G43,H43,I43,J43,K43,L43,N43,O43,Q43,#REF!,Y41))</f>
        <v/>
      </c>
      <c r="V43" s="65"/>
      <c r="W43" s="67"/>
      <c r="X43" s="65"/>
      <c r="Y43" s="40">
        <f>IFERROR(IF(#REF!="MENSUAL",ISR(D45,isr_mensual,subsidio_mensual),IF(#REF!="QUINCENAL",ISR(D45,isr_quincenal,subsidio_qunicenal),IF(#REF! = "SEMANAL",ISR(D45,isr_semanal,subsidio_semanal),ISR(D45,isr_catorcenal,subsidio_catorcenal)))),0)</f>
        <v>0</v>
      </c>
      <c r="Z43" s="25"/>
      <c r="AA43" s="25"/>
      <c r="AB43" s="25"/>
      <c r="AC43" s="25"/>
      <c r="AD43" s="25"/>
      <c r="AE43" s="25"/>
      <c r="AF43" s="25"/>
      <c r="AG43" s="25"/>
      <c r="AH43" s="25"/>
      <c r="AI43" s="1"/>
      <c r="AJ43" s="1"/>
      <c r="AK43" s="1"/>
      <c r="AL43" s="1"/>
      <c r="AM43" s="1"/>
      <c r="AN43" s="1"/>
      <c r="AO43" s="1"/>
      <c r="AP43" s="1"/>
    </row>
    <row r="44" spans="1:42" ht="16.5" x14ac:dyDescent="0.35">
      <c r="A44" s="47"/>
      <c r="B44" s="47"/>
      <c r="C44" s="60"/>
      <c r="D44" s="49"/>
      <c r="E44" s="46">
        <f>IF(D44 = "", 0, PUNTUALIDAD(D44,$M$9,#REF!))</f>
        <v>0</v>
      </c>
      <c r="F44" s="46">
        <f>IF(D44="",0,ASISTENCIA(D44,$M$10,#REF!))</f>
        <v>0</v>
      </c>
      <c r="G44" s="46">
        <f>IF(D44="",0,VALES(D44,$M$12,#REF!))</f>
        <v>0</v>
      </c>
      <c r="H44" s="46">
        <f>IF(D44 = "", 0, AHORRO(D44,$M$11,#REF!))</f>
        <v>0</v>
      </c>
      <c r="I44" s="91"/>
      <c r="J44" s="91"/>
      <c r="K44" s="91"/>
      <c r="L44" s="51"/>
      <c r="M44" s="74"/>
      <c r="N44" s="45"/>
      <c r="O44" s="72"/>
      <c r="P44" s="71"/>
      <c r="Q44" s="68"/>
      <c r="R44" s="48"/>
      <c r="S44" s="63"/>
      <c r="T44" s="52"/>
      <c r="U44" s="46" t="str">
        <f>IF(D44 = "", "",NETO(D44,E44,F44,G44,H44,I44,J44,K44,L44,N44,O44,Q44,#REF!,Y42))</f>
        <v/>
      </c>
      <c r="V44" s="65"/>
      <c r="W44" s="67"/>
      <c r="X44" s="65"/>
      <c r="Y44" s="40">
        <f>IFERROR(IF(#REF!="MENSUAL",ISR(D46,isr_mensual,subsidio_mensual),IF(#REF!="QUINCENAL",ISR(D46,isr_quincenal,subsidio_qunicenal),IF(#REF! = "SEMANAL",ISR(D46,isr_semanal,subsidio_semanal),ISR(D46,isr_catorcenal,subsidio_catorcenal)))),0)</f>
        <v>0</v>
      </c>
      <c r="Z44" s="25"/>
      <c r="AA44" s="25"/>
      <c r="AB44" s="25"/>
      <c r="AC44" s="25"/>
      <c r="AD44" s="25"/>
      <c r="AE44" s="25"/>
      <c r="AF44" s="25"/>
      <c r="AG44" s="25"/>
      <c r="AH44" s="25"/>
      <c r="AI44" s="1"/>
      <c r="AJ44" s="1"/>
      <c r="AK44" s="1"/>
      <c r="AL44" s="1"/>
      <c r="AM44" s="1"/>
      <c r="AN44" s="1"/>
      <c r="AO44" s="1"/>
      <c r="AP44" s="1"/>
    </row>
    <row r="45" spans="1:42" ht="16.5" x14ac:dyDescent="0.35">
      <c r="A45" s="47"/>
      <c r="B45" s="47"/>
      <c r="C45" s="60"/>
      <c r="D45" s="49"/>
      <c r="E45" s="46">
        <f>IF(D45 = "", 0, PUNTUALIDAD(D45,$M$9,#REF!))</f>
        <v>0</v>
      </c>
      <c r="F45" s="46">
        <f>IF(D45="",0,ASISTENCIA(D45,$M$10,#REF!))</f>
        <v>0</v>
      </c>
      <c r="G45" s="46">
        <f>IF(D45="",0,VALES(D45,$M$12,#REF!))</f>
        <v>0</v>
      </c>
      <c r="H45" s="46">
        <f>IF(D45 = "", 0, AHORRO(D45,$M$11,#REF!))</f>
        <v>0</v>
      </c>
      <c r="I45" s="91"/>
      <c r="J45" s="91"/>
      <c r="K45" s="91"/>
      <c r="L45" s="51"/>
      <c r="M45" s="74"/>
      <c r="N45" s="45"/>
      <c r="O45" s="72"/>
      <c r="P45" s="71"/>
      <c r="Q45" s="68"/>
      <c r="R45" s="48"/>
      <c r="S45" s="63"/>
      <c r="T45" s="52"/>
      <c r="U45" s="46" t="str">
        <f>IF(D45 = "", "",NETO(D45,E45,F45,G45,H45,I45,J45,K45,L45,N45,O45,Q45,#REF!,Y43))</f>
        <v/>
      </c>
      <c r="V45" s="65"/>
      <c r="W45" s="67"/>
      <c r="X45" s="65"/>
      <c r="Y45" s="40">
        <f>IFERROR(IF(#REF!="MENSUAL",ISR(D47,isr_mensual,subsidio_mensual),IF(#REF!="QUINCENAL",ISR(D47,isr_quincenal,subsidio_qunicenal),IF(#REF! = "SEMANAL",ISR(D47,isr_semanal,subsidio_semanal),ISR(D47,isr_catorcenal,subsidio_catorcenal)))),0)</f>
        <v>0</v>
      </c>
      <c r="Z45" s="25"/>
      <c r="AA45" s="25"/>
      <c r="AB45" s="25"/>
      <c r="AC45" s="25"/>
      <c r="AD45" s="25"/>
      <c r="AE45" s="25"/>
      <c r="AF45" s="25"/>
      <c r="AG45" s="25"/>
      <c r="AH45" s="25"/>
      <c r="AI45" s="1"/>
      <c r="AJ45" s="1"/>
      <c r="AK45" s="1"/>
      <c r="AL45" s="1"/>
      <c r="AM45" s="1"/>
      <c r="AN45" s="1"/>
      <c r="AO45" s="1"/>
      <c r="AP45" s="1"/>
    </row>
    <row r="46" spans="1:42" ht="16.5" x14ac:dyDescent="0.35">
      <c r="A46" s="47"/>
      <c r="B46" s="47"/>
      <c r="C46" s="60"/>
      <c r="D46" s="49"/>
      <c r="E46" s="46">
        <f>IF(D46 = "", 0, PUNTUALIDAD(D46,$M$9,#REF!))</f>
        <v>0</v>
      </c>
      <c r="F46" s="46">
        <f>IF(D46="",0,ASISTENCIA(D46,$M$10,#REF!))</f>
        <v>0</v>
      </c>
      <c r="G46" s="46">
        <f>IF(D46="",0,VALES(D46,$M$12,#REF!))</f>
        <v>0</v>
      </c>
      <c r="H46" s="46">
        <f>IF(D46 = "", 0, AHORRO(D46,$M$11,#REF!))</f>
        <v>0</v>
      </c>
      <c r="I46" s="91"/>
      <c r="J46" s="91"/>
      <c r="K46" s="91"/>
      <c r="L46" s="51"/>
      <c r="M46" s="74"/>
      <c r="N46" s="45"/>
      <c r="O46" s="72"/>
      <c r="P46" s="71"/>
      <c r="Q46" s="68"/>
      <c r="R46" s="48"/>
      <c r="S46" s="63"/>
      <c r="T46" s="52"/>
      <c r="U46" s="46" t="str">
        <f>IF(D46 = "", "",NETO(D46,E46,F46,G46,H46,I46,J46,K46,L46,N46,O46,Q46,#REF!,Y44))</f>
        <v/>
      </c>
      <c r="V46" s="65"/>
      <c r="W46" s="67"/>
      <c r="X46" s="65"/>
      <c r="Y46" s="40">
        <f>IFERROR(IF(#REF!="MENSUAL",ISR(D48,isr_mensual,subsidio_mensual),IF(#REF!="QUINCENAL",ISR(D48,isr_quincenal,subsidio_qunicenal),IF(#REF! = "SEMANAL",ISR(D48,isr_semanal,subsidio_semanal),ISR(D48,isr_catorcenal,subsidio_catorcenal)))),0)</f>
        <v>0</v>
      </c>
      <c r="Z46" s="25"/>
      <c r="AA46" s="25"/>
      <c r="AB46" s="25"/>
      <c r="AC46" s="25"/>
      <c r="AD46" s="25"/>
      <c r="AE46" s="25"/>
      <c r="AF46" s="25"/>
      <c r="AG46" s="25"/>
      <c r="AH46" s="25"/>
      <c r="AI46" s="1"/>
      <c r="AJ46" s="1"/>
      <c r="AK46" s="1"/>
      <c r="AL46" s="1"/>
      <c r="AM46" s="1"/>
      <c r="AN46" s="1"/>
      <c r="AO46" s="1"/>
      <c r="AP46" s="1"/>
    </row>
    <row r="47" spans="1:42" ht="16.5" x14ac:dyDescent="0.35">
      <c r="A47" s="47"/>
      <c r="B47" s="47"/>
      <c r="C47" s="60"/>
      <c r="D47" s="49"/>
      <c r="E47" s="46">
        <f>IF(D47 = "", 0, PUNTUALIDAD(D47,$M$9,#REF!))</f>
        <v>0</v>
      </c>
      <c r="F47" s="46">
        <f>IF(D47="",0,ASISTENCIA(D47,$M$10,#REF!))</f>
        <v>0</v>
      </c>
      <c r="G47" s="46">
        <f>IF(D47="",0,VALES(D47,$M$12,#REF!))</f>
        <v>0</v>
      </c>
      <c r="H47" s="46">
        <f>IF(D47 = "", 0, AHORRO(D47,$M$11,#REF!))</f>
        <v>0</v>
      </c>
      <c r="I47" s="91"/>
      <c r="J47" s="91"/>
      <c r="K47" s="91"/>
      <c r="L47" s="51"/>
      <c r="M47" s="74"/>
      <c r="N47" s="45"/>
      <c r="O47" s="72"/>
      <c r="P47" s="71"/>
      <c r="Q47" s="68"/>
      <c r="R47" s="48"/>
      <c r="S47" s="63"/>
      <c r="T47" s="52"/>
      <c r="U47" s="46" t="str">
        <f>IF(D47 = "", "",NETO(D47,E47,F47,G47,H47,I47,J47,K47,L47,N47,O47,Q47,#REF!,Y45))</f>
        <v/>
      </c>
      <c r="V47" s="65"/>
      <c r="W47" s="67"/>
      <c r="X47" s="65"/>
      <c r="Y47" s="40">
        <f>IFERROR(IF(#REF!="MENSUAL",ISR(D49,isr_mensual,subsidio_mensual),IF(#REF!="QUINCENAL",ISR(D49,isr_quincenal,subsidio_qunicenal),IF(#REF! = "SEMANAL",ISR(D49,isr_semanal,subsidio_semanal),ISR(D49,isr_catorcenal,subsidio_catorcenal)))),0)</f>
        <v>0</v>
      </c>
      <c r="Z47" s="25"/>
      <c r="AA47" s="25"/>
      <c r="AB47" s="25"/>
      <c r="AC47" s="25"/>
      <c r="AD47" s="25"/>
      <c r="AE47" s="25"/>
      <c r="AF47" s="25"/>
      <c r="AG47" s="25"/>
      <c r="AH47" s="25"/>
      <c r="AI47" s="1"/>
      <c r="AJ47" s="1"/>
      <c r="AK47" s="1"/>
      <c r="AL47" s="1"/>
      <c r="AM47" s="1"/>
      <c r="AN47" s="1"/>
      <c r="AO47" s="1"/>
      <c r="AP47" s="1"/>
    </row>
    <row r="48" spans="1:42" ht="16.5" x14ac:dyDescent="0.35">
      <c r="A48" s="47"/>
      <c r="B48" s="47"/>
      <c r="C48" s="60"/>
      <c r="D48" s="49"/>
      <c r="E48" s="46">
        <f>IF(D48 = "", 0, PUNTUALIDAD(D48,$M$9,#REF!))</f>
        <v>0</v>
      </c>
      <c r="F48" s="46">
        <f>IF(D48="",0,ASISTENCIA(D48,$M$10,#REF!))</f>
        <v>0</v>
      </c>
      <c r="G48" s="46">
        <f>IF(D48="",0,VALES(D48,$M$12,#REF!))</f>
        <v>0</v>
      </c>
      <c r="H48" s="46">
        <f>IF(D48 = "", 0, AHORRO(D48,$M$11,#REF!))</f>
        <v>0</v>
      </c>
      <c r="I48" s="91"/>
      <c r="J48" s="91"/>
      <c r="K48" s="91"/>
      <c r="L48" s="51"/>
      <c r="M48" s="74"/>
      <c r="N48" s="45"/>
      <c r="O48" s="72"/>
      <c r="P48" s="71"/>
      <c r="Q48" s="68"/>
      <c r="R48" s="48"/>
      <c r="S48" s="63"/>
      <c r="T48" s="52"/>
      <c r="U48" s="46" t="str">
        <f>IF(D48 = "", "",NETO(D48,E48,F48,G48,H48,I48,J48,K48,L48,N48,O48,Q48,#REF!,Y46))</f>
        <v/>
      </c>
      <c r="V48" s="65"/>
      <c r="W48" s="67"/>
      <c r="X48" s="65"/>
      <c r="Y48" s="40">
        <f>IFERROR(IF(#REF!="MENSUAL",ISR(D50,isr_mensual,subsidio_mensual),IF(#REF!="QUINCENAL",ISR(D50,isr_quincenal,subsidio_qunicenal),IF(#REF! = "SEMANAL",ISR(D50,isr_semanal,subsidio_semanal),ISR(D50,isr_catorcenal,subsidio_catorcenal)))),0)</f>
        <v>0</v>
      </c>
      <c r="Z48" s="25"/>
      <c r="AA48" s="25"/>
      <c r="AB48" s="25"/>
      <c r="AC48" s="25"/>
      <c r="AD48" s="25"/>
      <c r="AE48" s="25"/>
      <c r="AF48" s="25"/>
      <c r="AG48" s="25"/>
      <c r="AH48" s="25"/>
      <c r="AI48" s="1"/>
      <c r="AJ48" s="1"/>
      <c r="AK48" s="1"/>
      <c r="AL48" s="1"/>
      <c r="AM48" s="1"/>
      <c r="AN48" s="1"/>
      <c r="AO48" s="1"/>
      <c r="AP48" s="1"/>
    </row>
    <row r="49" spans="1:42" ht="16.5" x14ac:dyDescent="0.35">
      <c r="A49" s="47"/>
      <c r="B49" s="47"/>
      <c r="C49" s="60"/>
      <c r="D49" s="49"/>
      <c r="E49" s="46">
        <f>IF(D49 = "", 0, PUNTUALIDAD(D49,$M$9,#REF!))</f>
        <v>0</v>
      </c>
      <c r="F49" s="46">
        <f>IF(D49="",0,ASISTENCIA(D49,$M$10,#REF!))</f>
        <v>0</v>
      </c>
      <c r="G49" s="46">
        <f>IF(D49="",0,VALES(D49,$M$12,#REF!))</f>
        <v>0</v>
      </c>
      <c r="H49" s="46">
        <f>IF(D49 = "", 0, AHORRO(D49,$M$11,#REF!))</f>
        <v>0</v>
      </c>
      <c r="I49" s="91"/>
      <c r="J49" s="91"/>
      <c r="K49" s="91"/>
      <c r="L49" s="51"/>
      <c r="M49" s="74"/>
      <c r="N49" s="45"/>
      <c r="O49" s="72"/>
      <c r="P49" s="71"/>
      <c r="Q49" s="68"/>
      <c r="R49" s="48"/>
      <c r="S49" s="63"/>
      <c r="T49" s="52"/>
      <c r="U49" s="46" t="str">
        <f>IF(D49 = "", "",NETO(D49,E49,F49,G49,H49,I49,J49,K49,L49,N49,O49,Q49,#REF!,Y47))</f>
        <v/>
      </c>
      <c r="V49" s="65"/>
      <c r="W49" s="67"/>
      <c r="X49" s="65"/>
      <c r="Y49" s="40">
        <f>IFERROR(IF(#REF!="MENSUAL",ISR(D51,isr_mensual,subsidio_mensual),IF(#REF!="QUINCENAL",ISR(D51,isr_quincenal,subsidio_qunicenal),IF(#REF! = "SEMANAL",ISR(D51,isr_semanal,subsidio_semanal),ISR(D51,isr_catorcenal,subsidio_catorcenal)))),0)</f>
        <v>0</v>
      </c>
      <c r="Z49" s="25"/>
      <c r="AA49" s="25"/>
      <c r="AB49" s="25"/>
      <c r="AC49" s="25"/>
      <c r="AD49" s="25"/>
      <c r="AE49" s="25"/>
      <c r="AF49" s="25"/>
      <c r="AG49" s="25"/>
      <c r="AH49" s="25"/>
      <c r="AI49" s="1"/>
      <c r="AJ49" s="1"/>
      <c r="AK49" s="1"/>
      <c r="AL49" s="1"/>
      <c r="AM49" s="1"/>
      <c r="AN49" s="1"/>
      <c r="AO49" s="1"/>
      <c r="AP49" s="1"/>
    </row>
    <row r="50" spans="1:42" ht="16.5" x14ac:dyDescent="0.35">
      <c r="A50" s="47"/>
      <c r="B50" s="47"/>
      <c r="C50" s="60"/>
      <c r="D50" s="49"/>
      <c r="E50" s="46">
        <f>IF(D50 = "", 0, PUNTUALIDAD(D50,$M$9,#REF!))</f>
        <v>0</v>
      </c>
      <c r="F50" s="46">
        <f>IF(D50="",0,ASISTENCIA(D50,$M$10,#REF!))</f>
        <v>0</v>
      </c>
      <c r="G50" s="46">
        <f>IF(D50="",0,VALES(D50,$M$12,#REF!))</f>
        <v>0</v>
      </c>
      <c r="H50" s="46">
        <f>IF(D50 = "", 0, AHORRO(D50,$M$11,#REF!))</f>
        <v>0</v>
      </c>
      <c r="I50" s="91"/>
      <c r="J50" s="91"/>
      <c r="K50" s="91"/>
      <c r="L50" s="51"/>
      <c r="M50" s="74"/>
      <c r="N50" s="45"/>
      <c r="O50" s="72"/>
      <c r="P50" s="71"/>
      <c r="Q50" s="68"/>
      <c r="R50" s="48"/>
      <c r="S50" s="63"/>
      <c r="T50" s="52"/>
      <c r="U50" s="46" t="str">
        <f>IF(D50 = "", "",NETO(D50,E50,F50,G50,H50,I50,J50,K50,L50,N50,O50,Q50,#REF!,Y48))</f>
        <v/>
      </c>
      <c r="V50" s="65"/>
      <c r="W50" s="67"/>
      <c r="X50" s="65"/>
      <c r="Y50" s="40">
        <f>IFERROR(IF(#REF!="MENSUAL",ISR(D52,isr_mensual,subsidio_mensual),IF(#REF!="QUINCENAL",ISR(D52,isr_quincenal,subsidio_qunicenal),IF(#REF! = "SEMANAL",ISR(D52,isr_semanal,subsidio_semanal),ISR(D52,isr_catorcenal,subsidio_catorcenal)))),0)</f>
        <v>0</v>
      </c>
      <c r="Z50" s="25"/>
      <c r="AA50" s="25"/>
      <c r="AB50" s="25"/>
      <c r="AC50" s="25"/>
      <c r="AD50" s="25"/>
      <c r="AE50" s="25"/>
      <c r="AF50" s="25"/>
      <c r="AG50" s="25"/>
      <c r="AH50" s="25"/>
      <c r="AI50" s="1"/>
      <c r="AJ50" s="1"/>
      <c r="AK50" s="1"/>
      <c r="AL50" s="1"/>
      <c r="AM50" s="1"/>
      <c r="AN50" s="1"/>
      <c r="AO50" s="1"/>
      <c r="AP50" s="1"/>
    </row>
    <row r="51" spans="1:42" ht="15.75" x14ac:dyDescent="0.3">
      <c r="A51" s="47"/>
      <c r="B51" s="47"/>
      <c r="C51" s="60"/>
      <c r="D51" s="49"/>
      <c r="E51" s="46">
        <f>IF(D51 = "", 0, PUNTUALIDAD(D51,$M$9,#REF!))</f>
        <v>0</v>
      </c>
      <c r="F51" s="46">
        <f>IF(D51="",0,ASISTENCIA(D51,$M$10,#REF!))</f>
        <v>0</v>
      </c>
      <c r="G51" s="46">
        <f>IF(D51="",0,VALES(D51,$M$12,#REF!))</f>
        <v>0</v>
      </c>
      <c r="H51" s="46">
        <f>IF(D51 = "", 0, AHORRO(D51,$M$11,#REF!))</f>
        <v>0</v>
      </c>
      <c r="I51" s="91"/>
      <c r="J51" s="91"/>
      <c r="K51" s="91"/>
      <c r="L51" s="51"/>
      <c r="M51" s="74"/>
      <c r="N51" s="45"/>
      <c r="O51" s="72"/>
      <c r="P51" s="71"/>
      <c r="Q51" s="68"/>
      <c r="R51" s="48"/>
      <c r="S51" s="63"/>
      <c r="T51" s="52"/>
      <c r="U51" s="46" t="str">
        <f>IF(D51 = "", "",NETO(D51,E51,F51,G51,H51,I51,J51,K51,L51,N51,O51,Q51,#REF!,Y49))</f>
        <v/>
      </c>
      <c r="V51" s="65"/>
      <c r="W51" s="67"/>
      <c r="X51" s="65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ht="15.75" x14ac:dyDescent="0.3">
      <c r="A52" s="47"/>
      <c r="B52" s="47"/>
      <c r="C52" s="60"/>
      <c r="D52" s="49"/>
      <c r="E52" s="46">
        <f>IF(D52 = "", 0, PUNTUALIDAD(D52,$M$9,#REF!))</f>
        <v>0</v>
      </c>
      <c r="F52" s="46">
        <f>IF(D52="",0,ASISTENCIA(D52,$M$10,#REF!))</f>
        <v>0</v>
      </c>
      <c r="G52" s="46">
        <f>IF(D52="",0,VALES(D52,$M$12,#REF!))</f>
        <v>0</v>
      </c>
      <c r="H52" s="46">
        <f>IF(D52 = "", 0, AHORRO(D52,$M$11,#REF!))</f>
        <v>0</v>
      </c>
      <c r="I52" s="91"/>
      <c r="J52" s="91"/>
      <c r="K52" s="91"/>
      <c r="L52" s="51"/>
      <c r="M52" s="74"/>
      <c r="N52" s="45"/>
      <c r="O52" s="72"/>
      <c r="P52" s="71"/>
      <c r="Q52" s="68"/>
      <c r="R52" s="48"/>
      <c r="S52" s="63"/>
      <c r="T52" s="52"/>
      <c r="U52" s="46" t="str">
        <f>IF(D52 = "", "",NETO(D52,E52,F52,G52,H52,I52,J52,K52,L52,N52,O52,Q52,#REF!,Y50))</f>
        <v/>
      </c>
      <c r="V52" s="65"/>
      <c r="W52" s="67"/>
      <c r="X52" s="65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25"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25"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  <row r="73" spans="1:4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</row>
    <row r="77" spans="1:4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</row>
    <row r="78" spans="1:4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</row>
    <row r="82" spans="1:4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</row>
    <row r="83" spans="1:4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</row>
    <row r="87" spans="1:4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</row>
    <row r="88" spans="1:4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</row>
    <row r="92" spans="1:4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</row>
    <row r="93" spans="1:4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</row>
    <row r="97" spans="1:4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</row>
    <row r="98" spans="1:4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</row>
    <row r="102" spans="1:4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</row>
    <row r="103" spans="1:4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</row>
    <row r="107" spans="1:4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</row>
    <row r="108" spans="1:4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</row>
    <row r="112" spans="1:4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</row>
    <row r="113" spans="1:4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</row>
    <row r="117" spans="1:4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</row>
    <row r="118" spans="1:4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</row>
    <row r="122" spans="1:4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</row>
    <row r="123" spans="1:4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</row>
    <row r="127" spans="1:4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</row>
    <row r="128" spans="1:4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</row>
    <row r="132" spans="1:4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</row>
    <row r="133" spans="1:4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</row>
    <row r="137" spans="1:4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</row>
    <row r="138" spans="1:4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</row>
    <row r="142" spans="1:4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</row>
    <row r="143" spans="1:4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</row>
    <row r="147" spans="1:4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</row>
    <row r="148" spans="1:4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</row>
    <row r="152" spans="1:4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</row>
    <row r="153" spans="1:4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</row>
    <row r="154" spans="1:4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</row>
    <row r="155" spans="1:4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</row>
    <row r="156" spans="1:4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</row>
    <row r="157" spans="1:4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</row>
    <row r="158" spans="1:4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</row>
    <row r="159" spans="1:4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</row>
    <row r="160" spans="1:4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</row>
    <row r="161" spans="1:4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</row>
    <row r="162" spans="1:4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</row>
    <row r="163" spans="1:4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</row>
    <row r="164" spans="1:4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</row>
    <row r="165" spans="1:4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</row>
    <row r="166" spans="1:4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</row>
    <row r="167" spans="1:4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</row>
    <row r="168" spans="1:4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</row>
    <row r="169" spans="1:4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</row>
    <row r="170" spans="1:4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</row>
    <row r="171" spans="1:4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</row>
    <row r="172" spans="1:4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</row>
    <row r="173" spans="1:4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</row>
    <row r="174" spans="1:4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</row>
    <row r="175" spans="1:4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</row>
    <row r="176" spans="1:4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</row>
    <row r="177" spans="1:4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</row>
    <row r="178" spans="1:4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</row>
    <row r="179" spans="1:4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</row>
    <row r="180" spans="1:4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</row>
    <row r="181" spans="1:4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</row>
    <row r="182" spans="1:4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</row>
    <row r="183" spans="1:4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</row>
    <row r="184" spans="1:4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</row>
    <row r="185" spans="1:4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</row>
    <row r="186" spans="1:4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</row>
    <row r="187" spans="1:4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</row>
    <row r="188" spans="1:4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</row>
    <row r="189" spans="1:4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</row>
    <row r="190" spans="1:4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</row>
    <row r="191" spans="1:4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</row>
    <row r="192" spans="1:4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</row>
    <row r="193" spans="1:4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</row>
    <row r="194" spans="1:4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</row>
    <row r="195" spans="1:4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</row>
    <row r="196" spans="1:4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</row>
    <row r="197" spans="1:4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</row>
    <row r="198" spans="1:4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</row>
    <row r="199" spans="1:4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</row>
    <row r="200" spans="1:4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</row>
    <row r="201" spans="1:4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</row>
    <row r="202" spans="1:4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</row>
    <row r="203" spans="1:4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</row>
    <row r="204" spans="1:4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</row>
    <row r="205" spans="1:4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</row>
    <row r="206" spans="1:4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</row>
    <row r="207" spans="1:4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</row>
    <row r="208" spans="1:4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</row>
    <row r="209" spans="1:4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</row>
    <row r="210" spans="1:4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</row>
    <row r="211" spans="1:4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</row>
    <row r="212" spans="1:4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</row>
    <row r="213" spans="1:4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</row>
    <row r="214" spans="1:4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</row>
    <row r="215" spans="1:4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</row>
    <row r="216" spans="1:4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</row>
    <row r="217" spans="1:4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</row>
    <row r="218" spans="1:4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</row>
    <row r="219" spans="1:4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</row>
    <row r="220" spans="1:4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</row>
    <row r="221" spans="1:4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</row>
    <row r="222" spans="1:4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</row>
    <row r="223" spans="1:4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</row>
    <row r="224" spans="1:4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</row>
    <row r="225" spans="1:4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</row>
    <row r="226" spans="1:4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</row>
    <row r="227" spans="1:4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</row>
    <row r="228" spans="1:4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</row>
    <row r="229" spans="1:4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</row>
    <row r="230" spans="1:4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</row>
    <row r="231" spans="1:4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</row>
    <row r="232" spans="1:4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</row>
    <row r="233" spans="1:4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</row>
    <row r="234" spans="1:4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</row>
    <row r="235" spans="1:4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</row>
    <row r="236" spans="1:4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</row>
    <row r="237" spans="1:4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</row>
    <row r="238" spans="1:4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</row>
    <row r="239" spans="1:4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</row>
    <row r="240" spans="1:4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</row>
    <row r="241" spans="1:4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</row>
    <row r="242" spans="1:4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</row>
    <row r="243" spans="1:4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</row>
    <row r="244" spans="1:4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</row>
    <row r="245" spans="1:4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</row>
    <row r="246" spans="1:4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</row>
    <row r="247" spans="1:4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</row>
    <row r="248" spans="1:4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</row>
    <row r="249" spans="1:4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</row>
    <row r="250" spans="1:4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</row>
    <row r="251" spans="1:4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</row>
    <row r="252" spans="1:4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</row>
    <row r="253" spans="1:4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</row>
    <row r="254" spans="1:4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</row>
    <row r="255" spans="1:4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</row>
    <row r="256" spans="1:4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</row>
    <row r="257" spans="1:4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</row>
    <row r="258" spans="1:4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</row>
    <row r="259" spans="1:4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</row>
    <row r="260" spans="1:4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</row>
    <row r="261" spans="1:4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</row>
    <row r="262" spans="1:4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</row>
    <row r="263" spans="1:4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</row>
    <row r="264" spans="1:4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</row>
    <row r="265" spans="1:4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</row>
    <row r="266" spans="1:4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</row>
    <row r="267" spans="1:4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</row>
    <row r="268" spans="1:4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</row>
    <row r="269" spans="1:4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</row>
    <row r="270" spans="1:4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</row>
    <row r="271" spans="1:4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</row>
    <row r="272" spans="1:4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</row>
    <row r="273" spans="1:4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</row>
    <row r="274" spans="1:4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</row>
    <row r="275" spans="1:4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</row>
    <row r="276" spans="1:4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</row>
    <row r="277" spans="1:4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</row>
    <row r="278" spans="1:4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</row>
    <row r="279" spans="1:4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</row>
    <row r="280" spans="1:4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</row>
    <row r="281" spans="1:4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</row>
    <row r="282" spans="1:4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</row>
    <row r="283" spans="1:4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</row>
    <row r="284" spans="1:4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</row>
    <row r="285" spans="1:4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</row>
    <row r="286" spans="1:4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</row>
    <row r="287" spans="1:4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</row>
    <row r="288" spans="1:4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</row>
    <row r="289" spans="1:4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</row>
    <row r="290" spans="1:4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</row>
    <row r="291" spans="1:4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</row>
    <row r="292" spans="1:4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</row>
    <row r="293" spans="1:4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</row>
    <row r="294" spans="1:4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</row>
    <row r="295" spans="1:4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</row>
    <row r="296" spans="1:4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</row>
    <row r="297" spans="1:4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</row>
    <row r="298" spans="1:4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</row>
    <row r="299" spans="1:4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</row>
    <row r="300" spans="1:4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</row>
    <row r="301" spans="1:4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</row>
    <row r="302" spans="1:4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</row>
    <row r="303" spans="1:4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</row>
    <row r="304" spans="1:4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</row>
    <row r="305" spans="1:1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</row>
    <row r="306" spans="1:1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</row>
    <row r="307" spans="1:1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</row>
    <row r="308" spans="1:1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</row>
    <row r="309" spans="1:1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</row>
    <row r="310" spans="1:1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</row>
    <row r="311" spans="1:1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</sheetData>
  <dataConsolidate/>
  <mergeCells count="14">
    <mergeCell ref="A10:A11"/>
    <mergeCell ref="B10:D11"/>
    <mergeCell ref="A8:A9"/>
    <mergeCell ref="B8:D9"/>
    <mergeCell ref="A7:D7"/>
    <mergeCell ref="N8:O8"/>
    <mergeCell ref="E1:M4"/>
    <mergeCell ref="F10:G10"/>
    <mergeCell ref="M7:M8"/>
    <mergeCell ref="L7:L8"/>
    <mergeCell ref="F9:G9"/>
    <mergeCell ref="J7:K8"/>
    <mergeCell ref="F7:H7"/>
    <mergeCell ref="F8:G8"/>
  </mergeCells>
  <dataValidations count="4">
    <dataValidation type="whole" allowBlank="1" showInputMessage="1" showErrorMessage="1" promptTitle="ADVERTENCIA" prompt="Solo se pueden pagar 4 al mes" sqref="P19:P52">
      <formula1>0</formula1>
      <formula2>4</formula2>
    </dataValidation>
    <dataValidation type="whole" allowBlank="1" showInputMessage="1" showErrorMessage="1" sqref="M19:M52">
      <formula1>0</formula1>
      <formula2>150</formula2>
    </dataValidation>
    <dataValidation type="decimal" allowBlank="1" showInputMessage="1" showErrorMessage="1" sqref="D19:D52">
      <formula1>0</formula1>
      <formula2>1E+36</formula2>
    </dataValidation>
    <dataValidation type="decimal" allowBlank="1" showInputMessage="1" showErrorMessage="1" sqref="I19:L52">
      <formula1>0</formula1>
      <formula2>1E+30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D7:E9"/>
  <sheetViews>
    <sheetView workbookViewId="0">
      <selection activeCell="F19" sqref="F19"/>
    </sheetView>
  </sheetViews>
  <sheetFormatPr baseColWidth="10" defaultRowHeight="15" x14ac:dyDescent="0.25"/>
  <sheetData>
    <row r="7" spans="4:5" x14ac:dyDescent="0.25">
      <c r="D7" s="169" t="s">
        <v>132</v>
      </c>
      <c r="E7" s="169"/>
    </row>
    <row r="8" spans="4:5" x14ac:dyDescent="0.25">
      <c r="D8" s="113" t="s">
        <v>133</v>
      </c>
      <c r="E8" s="113">
        <v>89.62</v>
      </c>
    </row>
    <row r="9" spans="4:5" x14ac:dyDescent="0.25">
      <c r="D9" s="113" t="s">
        <v>134</v>
      </c>
      <c r="E9" s="113">
        <v>141.69999999999999</v>
      </c>
    </row>
  </sheetData>
  <mergeCells count="1">
    <mergeCell ref="D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D28" sqref="D28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16" t="s">
        <v>104</v>
      </c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70" t="s">
        <v>2</v>
      </c>
      <c r="E9" s="170"/>
      <c r="F9" s="170"/>
      <c r="G9" s="170"/>
      <c r="H9" s="1"/>
      <c r="I9" s="1"/>
      <c r="J9" s="1"/>
      <c r="K9" s="1"/>
      <c r="L9" s="1"/>
      <c r="M9" s="170" t="s">
        <v>8</v>
      </c>
      <c r="N9" s="170"/>
      <c r="O9" s="170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644.58000000000004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1768.96</v>
      </c>
      <c r="O11" s="4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644.59</v>
      </c>
      <c r="E12" s="3">
        <v>5470.92</v>
      </c>
      <c r="F12" s="4">
        <v>12.38</v>
      </c>
      <c r="G12" s="4">
        <v>6.4</v>
      </c>
      <c r="H12" s="1"/>
      <c r="I12" s="1"/>
      <c r="J12" s="1"/>
      <c r="K12" s="1"/>
      <c r="L12" s="1"/>
      <c r="M12" s="3">
        <v>1768.97</v>
      </c>
      <c r="N12" s="3">
        <v>2653.38</v>
      </c>
      <c r="O12" s="4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5470.93</v>
      </c>
      <c r="E13" s="3">
        <v>9614.66</v>
      </c>
      <c r="F13" s="4">
        <v>321.26</v>
      </c>
      <c r="G13" s="4">
        <v>10.88</v>
      </c>
      <c r="H13" s="1"/>
      <c r="I13" s="1"/>
      <c r="J13" s="1"/>
      <c r="K13" s="1"/>
      <c r="L13" s="1"/>
      <c r="M13" s="3">
        <v>2653.39</v>
      </c>
      <c r="N13" s="3">
        <v>3472.84</v>
      </c>
      <c r="O13" s="4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9614.67</v>
      </c>
      <c r="E14" s="3">
        <v>11176.62</v>
      </c>
      <c r="F14" s="4">
        <v>772.1</v>
      </c>
      <c r="G14" s="4">
        <v>16</v>
      </c>
      <c r="H14" s="1"/>
      <c r="I14" s="1"/>
      <c r="J14" s="1"/>
      <c r="K14" s="1"/>
      <c r="L14" s="1"/>
      <c r="M14" s="3">
        <v>3472.85</v>
      </c>
      <c r="N14" s="3">
        <v>3537.87</v>
      </c>
      <c r="O14" s="4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11176.63</v>
      </c>
      <c r="E15" s="3">
        <v>13381.47</v>
      </c>
      <c r="F15" s="3">
        <v>1022.01</v>
      </c>
      <c r="G15" s="4">
        <v>17.920000000000002</v>
      </c>
      <c r="H15" s="1"/>
      <c r="I15" s="1"/>
      <c r="J15" s="1"/>
      <c r="K15" s="1"/>
      <c r="L15" s="1"/>
      <c r="M15" s="3">
        <v>3537.88</v>
      </c>
      <c r="N15" s="3">
        <v>4446.1499999999996</v>
      </c>
      <c r="O15" s="4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13381.48</v>
      </c>
      <c r="E16" s="3">
        <v>26988.5</v>
      </c>
      <c r="F16" s="3">
        <v>1417.12</v>
      </c>
      <c r="G16" s="4">
        <v>21.36</v>
      </c>
      <c r="H16" s="1"/>
      <c r="I16" s="1"/>
      <c r="J16" s="1"/>
      <c r="K16" s="1"/>
      <c r="L16" s="1"/>
      <c r="M16" s="3">
        <v>4446.16</v>
      </c>
      <c r="N16" s="3">
        <v>4717.18</v>
      </c>
      <c r="O16" s="4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26988.51</v>
      </c>
      <c r="E17" s="3">
        <v>42537.58</v>
      </c>
      <c r="F17" s="3">
        <v>4323.58</v>
      </c>
      <c r="G17" s="4">
        <v>23.52</v>
      </c>
      <c r="H17" s="1"/>
      <c r="I17" s="1"/>
      <c r="J17" s="1"/>
      <c r="K17" s="1"/>
      <c r="L17" s="1"/>
      <c r="M17" s="3">
        <v>4717.1899999999996</v>
      </c>
      <c r="N17" s="3">
        <v>5335.42</v>
      </c>
      <c r="O17" s="4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42537.59</v>
      </c>
      <c r="E18" s="3">
        <v>81211.25</v>
      </c>
      <c r="F18" s="3">
        <v>7980.73</v>
      </c>
      <c r="G18" s="4">
        <v>30</v>
      </c>
      <c r="H18" s="1"/>
      <c r="I18" s="1"/>
      <c r="J18" s="1"/>
      <c r="K18" s="1"/>
      <c r="L18" s="1"/>
      <c r="M18" s="3">
        <v>5335.43</v>
      </c>
      <c r="N18" s="3">
        <v>6224.67</v>
      </c>
      <c r="O18" s="4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81211.259999999995</v>
      </c>
      <c r="E19" s="3">
        <v>108281.67</v>
      </c>
      <c r="F19" s="3">
        <v>19582.830000000002</v>
      </c>
      <c r="G19" s="4">
        <v>32</v>
      </c>
      <c r="H19" s="1"/>
      <c r="I19" s="1"/>
      <c r="J19" s="1"/>
      <c r="K19" s="1"/>
      <c r="L19" s="1"/>
      <c r="M19" s="3">
        <v>6224.68</v>
      </c>
      <c r="N19" s="3">
        <v>7113.9</v>
      </c>
      <c r="O19" s="4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108281.68</v>
      </c>
      <c r="E20" s="3">
        <v>324845.01</v>
      </c>
      <c r="F20" s="3">
        <v>28245.360000000001</v>
      </c>
      <c r="G20" s="4">
        <v>34</v>
      </c>
      <c r="H20" s="1"/>
      <c r="I20" s="1"/>
      <c r="J20" s="1"/>
      <c r="K20" s="1"/>
      <c r="L20" s="1"/>
      <c r="M20" s="3">
        <v>7113.91</v>
      </c>
      <c r="N20" s="3">
        <v>7382.33</v>
      </c>
      <c r="O20" s="4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324845.02</v>
      </c>
      <c r="E21" s="4" t="s">
        <v>7</v>
      </c>
      <c r="F21" s="3">
        <v>101876.9</v>
      </c>
      <c r="G21" s="4">
        <v>35</v>
      </c>
      <c r="H21" s="1"/>
      <c r="I21" s="1"/>
      <c r="J21" s="1"/>
      <c r="K21" s="1"/>
      <c r="L21" s="1"/>
      <c r="M21" s="3">
        <v>7382.34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D28" sqref="D2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171" t="s">
        <v>1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"/>
      <c r="U2" s="1"/>
      <c r="V2" s="1"/>
      <c r="W2" s="1"/>
      <c r="X2" s="1"/>
    </row>
    <row r="3" spans="1:24" ht="15" customHeight="1" x14ac:dyDescent="0.25">
      <c r="A3" s="1"/>
      <c r="B3" s="2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"/>
      <c r="U3" s="1"/>
      <c r="V3" s="1"/>
      <c r="W3" s="1"/>
      <c r="X3" s="1"/>
    </row>
    <row r="4" spans="1:24" ht="15" customHeight="1" x14ac:dyDescent="0.25">
      <c r="A4" s="1"/>
      <c r="B4" s="2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"/>
      <c r="U4" s="1"/>
      <c r="V4" s="1"/>
      <c r="W4" s="1"/>
      <c r="X4" s="1"/>
    </row>
    <row r="5" spans="1:24" ht="15" customHeight="1" x14ac:dyDescent="0.25">
      <c r="A5" s="1"/>
      <c r="B5" s="2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S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D28" sqref="D28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72" t="s">
        <v>13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70" t="s">
        <v>2</v>
      </c>
      <c r="E9" s="170"/>
      <c r="F9" s="170"/>
      <c r="G9" s="170"/>
      <c r="H9" s="1"/>
      <c r="I9" s="1"/>
      <c r="J9" s="1"/>
      <c r="K9" s="1"/>
      <c r="L9" s="1"/>
      <c r="M9" s="170" t="s">
        <v>8</v>
      </c>
      <c r="N9" s="170"/>
      <c r="O9" s="170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318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872.85</v>
      </c>
      <c r="O11" s="4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318.01</v>
      </c>
      <c r="E12" s="3">
        <v>2699.4</v>
      </c>
      <c r="F12" s="4">
        <v>6.15</v>
      </c>
      <c r="G12" s="4">
        <v>6.4</v>
      </c>
      <c r="H12" s="1"/>
      <c r="I12" s="1"/>
      <c r="J12" s="1"/>
      <c r="K12" s="1"/>
      <c r="L12" s="1"/>
      <c r="M12" s="3">
        <v>872.86</v>
      </c>
      <c r="N12" s="3">
        <v>1309.2</v>
      </c>
      <c r="O12" s="4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2699.41</v>
      </c>
      <c r="E13" s="3">
        <v>4744.05</v>
      </c>
      <c r="F13" s="4">
        <v>158.55000000000001</v>
      </c>
      <c r="G13" s="4">
        <v>10.88</v>
      </c>
      <c r="H13" s="1"/>
      <c r="I13" s="1"/>
      <c r="J13" s="1"/>
      <c r="K13" s="1"/>
      <c r="L13" s="1"/>
      <c r="M13" s="3">
        <v>1309.21</v>
      </c>
      <c r="N13" s="3">
        <v>1713.6</v>
      </c>
      <c r="O13" s="4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4744.0600000000004</v>
      </c>
      <c r="E14" s="3">
        <v>5514.75</v>
      </c>
      <c r="F14" s="4">
        <v>381</v>
      </c>
      <c r="G14" s="4">
        <v>16</v>
      </c>
      <c r="H14" s="1"/>
      <c r="I14" s="1"/>
      <c r="J14" s="1"/>
      <c r="K14" s="1"/>
      <c r="L14" s="1"/>
      <c r="M14" s="3">
        <v>1713.61</v>
      </c>
      <c r="N14" s="3">
        <v>1745.7</v>
      </c>
      <c r="O14" s="4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5514.76</v>
      </c>
      <c r="E15" s="3">
        <v>6602.7</v>
      </c>
      <c r="F15" s="3">
        <v>504.3</v>
      </c>
      <c r="G15" s="4">
        <v>17.920000000000002</v>
      </c>
      <c r="H15" s="1"/>
      <c r="I15" s="1"/>
      <c r="J15" s="1"/>
      <c r="K15" s="1"/>
      <c r="L15" s="1"/>
      <c r="M15" s="3">
        <v>1745.71</v>
      </c>
      <c r="N15" s="3">
        <v>2193.75</v>
      </c>
      <c r="O15" s="4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6602.71</v>
      </c>
      <c r="E16" s="3">
        <v>13316.7</v>
      </c>
      <c r="F16" s="3">
        <v>699.3</v>
      </c>
      <c r="G16" s="4">
        <v>21.36</v>
      </c>
      <c r="H16" s="1"/>
      <c r="I16" s="1"/>
      <c r="J16" s="1"/>
      <c r="K16" s="1"/>
      <c r="L16" s="1"/>
      <c r="M16" s="3">
        <v>2193.7600000000002</v>
      </c>
      <c r="N16" s="3">
        <v>2327.5500000000002</v>
      </c>
      <c r="O16" s="4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13316.71</v>
      </c>
      <c r="E17" s="3">
        <v>20988.9</v>
      </c>
      <c r="F17" s="3">
        <v>2133.3000000000002</v>
      </c>
      <c r="G17" s="4">
        <v>23.52</v>
      </c>
      <c r="H17" s="1"/>
      <c r="I17" s="1"/>
      <c r="J17" s="1"/>
      <c r="K17" s="1"/>
      <c r="L17" s="1"/>
      <c r="M17" s="3">
        <v>2327.56</v>
      </c>
      <c r="N17" s="3">
        <v>2632.65</v>
      </c>
      <c r="O17" s="4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20988.91</v>
      </c>
      <c r="E18" s="3">
        <v>40071.300000000003</v>
      </c>
      <c r="F18" s="3">
        <v>3937.8</v>
      </c>
      <c r="G18" s="4">
        <v>30</v>
      </c>
      <c r="H18" s="1"/>
      <c r="I18" s="1"/>
      <c r="J18" s="1"/>
      <c r="K18" s="1"/>
      <c r="L18" s="1"/>
      <c r="M18" s="3">
        <v>2632.66</v>
      </c>
      <c r="N18" s="3">
        <v>3071.4</v>
      </c>
      <c r="O18" s="4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40071.31</v>
      </c>
      <c r="E19" s="3">
        <v>53428.5</v>
      </c>
      <c r="F19" s="3">
        <v>9662.5499999999993</v>
      </c>
      <c r="G19" s="4">
        <v>32</v>
      </c>
      <c r="H19" s="1"/>
      <c r="I19" s="1"/>
      <c r="J19" s="1"/>
      <c r="K19" s="1"/>
      <c r="L19" s="1"/>
      <c r="M19" s="3">
        <v>3071.41</v>
      </c>
      <c r="N19" s="3">
        <v>3510.15</v>
      </c>
      <c r="O19" s="4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53428.51</v>
      </c>
      <c r="E20" s="3">
        <v>160285.35</v>
      </c>
      <c r="F20" s="3">
        <v>13936.8</v>
      </c>
      <c r="G20" s="4">
        <v>34</v>
      </c>
      <c r="H20" s="1"/>
      <c r="I20" s="1"/>
      <c r="J20" s="1"/>
      <c r="K20" s="1"/>
      <c r="L20" s="1"/>
      <c r="M20" s="3">
        <v>3510.16</v>
      </c>
      <c r="N20" s="3">
        <v>3641.6</v>
      </c>
      <c r="O20" s="4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160285.35999999999</v>
      </c>
      <c r="E21" s="4" t="s">
        <v>7</v>
      </c>
      <c r="F21" s="3">
        <v>50268.15</v>
      </c>
      <c r="G21" s="4">
        <v>35</v>
      </c>
      <c r="H21" s="1"/>
      <c r="I21" s="1"/>
      <c r="J21" s="1"/>
      <c r="K21" s="1"/>
      <c r="L21" s="1"/>
      <c r="M21" s="3">
        <v>3642.61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D28" sqref="D28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33" t="s">
        <v>12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70" t="s">
        <v>2</v>
      </c>
      <c r="E9" s="170"/>
      <c r="F9" s="170"/>
      <c r="G9" s="170"/>
      <c r="H9" s="1"/>
      <c r="I9" s="1"/>
      <c r="J9" s="1"/>
      <c r="K9" s="1"/>
      <c r="L9" s="1"/>
      <c r="M9" s="170" t="s">
        <v>8</v>
      </c>
      <c r="N9" s="170"/>
      <c r="O9" s="170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148.4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407.33</v>
      </c>
      <c r="O11" s="4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148.41</v>
      </c>
      <c r="E12" s="3">
        <v>1259.72</v>
      </c>
      <c r="F12" s="4">
        <v>2.87</v>
      </c>
      <c r="G12" s="4">
        <v>6.4</v>
      </c>
      <c r="H12" s="1"/>
      <c r="I12" s="1"/>
      <c r="J12" s="1"/>
      <c r="K12" s="1"/>
      <c r="L12" s="1"/>
      <c r="M12" s="3">
        <v>407.34</v>
      </c>
      <c r="N12" s="3">
        <v>610.96</v>
      </c>
      <c r="O12" s="4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1259.73</v>
      </c>
      <c r="E13" s="3">
        <v>2213.89</v>
      </c>
      <c r="F13" s="4">
        <v>73.989999999999995</v>
      </c>
      <c r="G13" s="4">
        <v>10.88</v>
      </c>
      <c r="H13" s="1"/>
      <c r="I13" s="1"/>
      <c r="J13" s="1"/>
      <c r="K13" s="1"/>
      <c r="L13" s="1"/>
      <c r="M13" s="3">
        <v>610.97</v>
      </c>
      <c r="N13" s="3">
        <v>799.68</v>
      </c>
      <c r="O13" s="4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2213.9</v>
      </c>
      <c r="E14" s="3">
        <v>2573.5500000000002</v>
      </c>
      <c r="F14" s="4">
        <v>177.8</v>
      </c>
      <c r="G14" s="4">
        <v>16</v>
      </c>
      <c r="H14" s="1"/>
      <c r="I14" s="1"/>
      <c r="J14" s="1"/>
      <c r="K14" s="1"/>
      <c r="L14" s="1"/>
      <c r="M14" s="3">
        <v>799.69</v>
      </c>
      <c r="N14" s="3">
        <v>814.66</v>
      </c>
      <c r="O14" s="4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2573.56</v>
      </c>
      <c r="E15" s="3">
        <v>3081.26</v>
      </c>
      <c r="F15" s="3">
        <v>235.34</v>
      </c>
      <c r="G15" s="4">
        <v>17.920000000000002</v>
      </c>
      <c r="H15" s="1"/>
      <c r="I15" s="1"/>
      <c r="J15" s="1"/>
      <c r="K15" s="1"/>
      <c r="L15" s="1"/>
      <c r="M15" s="3">
        <v>814.67</v>
      </c>
      <c r="N15" s="3">
        <v>1023.75</v>
      </c>
      <c r="O15" s="4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3081.27</v>
      </c>
      <c r="E16" s="3">
        <v>6214.46</v>
      </c>
      <c r="F16" s="3">
        <v>326.33999999999997</v>
      </c>
      <c r="G16" s="4">
        <v>21.36</v>
      </c>
      <c r="H16" s="1"/>
      <c r="I16" s="1"/>
      <c r="J16" s="1"/>
      <c r="K16" s="1"/>
      <c r="L16" s="1"/>
      <c r="M16" s="3">
        <v>1023.76</v>
      </c>
      <c r="N16" s="3">
        <v>1086.19</v>
      </c>
      <c r="O16" s="4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6214.47</v>
      </c>
      <c r="E17" s="3">
        <v>9794.82</v>
      </c>
      <c r="F17" s="3">
        <v>995.54</v>
      </c>
      <c r="G17" s="4">
        <v>23.52</v>
      </c>
      <c r="H17" s="1"/>
      <c r="I17" s="1"/>
      <c r="J17" s="1"/>
      <c r="K17" s="1"/>
      <c r="L17" s="1"/>
      <c r="M17" s="3">
        <v>1086.2</v>
      </c>
      <c r="N17" s="3">
        <v>1228.57</v>
      </c>
      <c r="O17" s="4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9794.83</v>
      </c>
      <c r="E18" s="3">
        <v>18699.939999999999</v>
      </c>
      <c r="F18" s="3">
        <v>1837.64</v>
      </c>
      <c r="G18" s="4">
        <v>30</v>
      </c>
      <c r="H18" s="1"/>
      <c r="I18" s="1"/>
      <c r="J18" s="1"/>
      <c r="K18" s="1"/>
      <c r="L18" s="1"/>
      <c r="M18" s="3">
        <v>1228.58</v>
      </c>
      <c r="N18" s="3">
        <v>1433.32</v>
      </c>
      <c r="O18" s="4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18699.95</v>
      </c>
      <c r="E19" s="3">
        <v>24933.3</v>
      </c>
      <c r="F19" s="3">
        <v>4509.1899999999996</v>
      </c>
      <c r="G19" s="4">
        <v>32</v>
      </c>
      <c r="H19" s="1"/>
      <c r="I19" s="1"/>
      <c r="J19" s="1"/>
      <c r="K19" s="1"/>
      <c r="L19" s="1"/>
      <c r="M19" s="3">
        <v>1433.33</v>
      </c>
      <c r="N19" s="3">
        <v>1638.07</v>
      </c>
      <c r="O19" s="4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24933.31</v>
      </c>
      <c r="E20" s="3">
        <v>74799.83</v>
      </c>
      <c r="F20" s="3">
        <v>6503.84</v>
      </c>
      <c r="G20" s="4">
        <v>34</v>
      </c>
      <c r="H20" s="1"/>
      <c r="I20" s="1"/>
      <c r="J20" s="1"/>
      <c r="K20" s="1"/>
      <c r="L20" s="1"/>
      <c r="M20" s="3">
        <v>1638.08</v>
      </c>
      <c r="N20" s="3">
        <v>1699.88</v>
      </c>
      <c r="O20" s="4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74799.839999999997</v>
      </c>
      <c r="E21" s="4" t="s">
        <v>7</v>
      </c>
      <c r="F21" s="3">
        <v>23458.47</v>
      </c>
      <c r="G21" s="4">
        <v>35</v>
      </c>
      <c r="H21" s="1"/>
      <c r="I21" s="1"/>
      <c r="J21" s="1"/>
      <c r="K21" s="1"/>
      <c r="L21" s="1"/>
      <c r="M21" s="3">
        <v>1699.89</v>
      </c>
      <c r="N21" s="4" t="s">
        <v>14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MENU</vt:lpstr>
      <vt:lpstr>SIMULADORES</vt:lpstr>
      <vt:lpstr>CATALOGO</vt:lpstr>
      <vt:lpstr>EMPRESAS</vt:lpstr>
      <vt:lpstr>IMSS</vt:lpstr>
      <vt:lpstr>MENSUAL</vt:lpstr>
      <vt:lpstr>SALARIOS</vt:lpstr>
      <vt:lpstr>ISR MENSUAL</vt:lpstr>
      <vt:lpstr>TABLAS</vt:lpstr>
      <vt:lpstr>ISR QUINCENAL</vt:lpstr>
      <vt:lpstr>ISR SEMANAL</vt:lpstr>
      <vt:lpstr>empresas</vt:lpstr>
      <vt:lpstr>isr_mensual</vt:lpstr>
      <vt:lpstr>isr_quincenal</vt:lpstr>
      <vt:lpstr>isr_semanal</vt:lpstr>
      <vt:lpstr>nombre_empresas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2022-06-21T21:56:44Z</dcterms:modified>
</cp:coreProperties>
</file>