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SIGAMEX\"/>
    </mc:Choice>
  </mc:AlternateContent>
  <bookViews>
    <workbookView xWindow="0" yWindow="0" windowWidth="28800" windowHeight="10905" activeTab="3"/>
  </bookViews>
  <sheets>
    <sheet name="MENU" sheetId="1" r:id="rId1"/>
    <sheet name="EMPRESAS" sheetId="5" r:id="rId2"/>
    <sheet name="RAMAS" sheetId="6" r:id="rId3"/>
    <sheet name="MENSUAL" sheetId="4" r:id="rId4"/>
    <sheet name="ISR MENSUAL" sheetId="7" r:id="rId5"/>
    <sheet name="SIMULADORES" sheetId="2" r:id="rId6"/>
    <sheet name="TABLAS" sheetId="3" r:id="rId7"/>
    <sheet name="ISR QUINCENAL" sheetId="8" r:id="rId8"/>
    <sheet name="ISR SEMANAL" sheetId="9" r:id="rId9"/>
  </sheets>
  <functionGroups builtInGroupCount="18"/>
  <definedNames>
    <definedName name="empresas">EMPRESAS!$C$12:$H$42</definedName>
    <definedName name="isr_mensual">'ISR MENSUAL'!$D$11:$G$21</definedName>
    <definedName name="isr_quincenal">'ISR QUINCENAL'!$D$11:$G$21</definedName>
    <definedName name="isr_semanal">'ISR SEMANAL'!$D$11:$G$21</definedName>
    <definedName name="nombre_empresas">EMPRESAS!$C$12:$C$42</definedName>
    <definedName name="subsidio_mensual">'ISR MENSUAL'!$M$11:$O$21</definedName>
    <definedName name="subsidio_qunicenal">'ISR QUINCENAL'!$M$11:$O$21</definedName>
    <definedName name="subsidio_semanal">'ISR SEMANAL'!$M$11:$O$21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1" i="4" l="1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G24" i="6"/>
  <c r="H24" i="6" s="1"/>
  <c r="I24" i="6" s="1"/>
  <c r="H17" i="4"/>
  <c r="E20" i="4"/>
  <c r="F20" i="4"/>
  <c r="G20" i="4"/>
  <c r="H20" i="4"/>
  <c r="H19" i="4"/>
  <c r="F19" i="4"/>
  <c r="E19" i="4"/>
  <c r="G19" i="4"/>
  <c r="AD18" i="4"/>
  <c r="AD19" i="4"/>
  <c r="W18" i="4"/>
  <c r="W42" i="4"/>
  <c r="W19" i="4"/>
  <c r="W20" i="4"/>
  <c r="W28" i="4"/>
  <c r="W36" i="4"/>
  <c r="W44" i="4"/>
  <c r="W21" i="4"/>
  <c r="W29" i="4"/>
  <c r="W45" i="4"/>
  <c r="W27" i="4"/>
  <c r="W37" i="4"/>
  <c r="W22" i="4"/>
  <c r="W30" i="4"/>
  <c r="W38" i="4"/>
  <c r="W46" i="4"/>
  <c r="W33" i="4"/>
  <c r="W34" i="4"/>
  <c r="W43" i="4"/>
  <c r="W23" i="4"/>
  <c r="W31" i="4"/>
  <c r="W39" i="4"/>
  <c r="W47" i="4"/>
  <c r="W48" i="4"/>
  <c r="W41" i="4"/>
  <c r="W26" i="4"/>
  <c r="W35" i="4"/>
  <c r="W24" i="4"/>
  <c r="W32" i="4"/>
  <c r="W40" i="4"/>
  <c r="W25" i="4"/>
  <c r="W49" i="4"/>
  <c r="W50" i="4"/>
  <c r="W17" i="4"/>
  <c r="H18" i="4"/>
  <c r="G18" i="4"/>
  <c r="F18" i="4"/>
  <c r="E18" i="4"/>
  <c r="S20" i="4"/>
  <c r="S28" i="4"/>
  <c r="S36" i="4"/>
  <c r="S44" i="4"/>
  <c r="S21" i="4"/>
  <c r="S29" i="4"/>
  <c r="S37" i="4"/>
  <c r="S45" i="4"/>
  <c r="S22" i="4"/>
  <c r="S30" i="4"/>
  <c r="S38" i="4"/>
  <c r="S46" i="4"/>
  <c r="S39" i="4"/>
  <c r="S48" i="4"/>
  <c r="S33" i="4"/>
  <c r="S18" i="4"/>
  <c r="S50" i="4"/>
  <c r="S35" i="4"/>
  <c r="S23" i="4"/>
  <c r="S31" i="4"/>
  <c r="S47" i="4"/>
  <c r="S25" i="4"/>
  <c r="S49" i="4"/>
  <c r="S34" i="4"/>
  <c r="S42" i="4"/>
  <c r="S27" i="4"/>
  <c r="S43" i="4"/>
  <c r="S24" i="4"/>
  <c r="S32" i="4"/>
  <c r="S40" i="4"/>
  <c r="S41" i="4"/>
  <c r="S26" i="4"/>
  <c r="S19" i="4"/>
  <c r="O31" i="4"/>
  <c r="N42" i="4"/>
  <c r="O26" i="4"/>
  <c r="N45" i="4"/>
  <c r="Q48" i="4"/>
  <c r="N50" i="4"/>
  <c r="Q29" i="4"/>
  <c r="N32" i="4"/>
  <c r="O44" i="4"/>
  <c r="N31" i="4"/>
  <c r="Q32" i="4"/>
  <c r="Q39" i="4"/>
  <c r="Q21" i="4"/>
  <c r="O45" i="4"/>
  <c r="Q40" i="4"/>
  <c r="N44" i="4"/>
  <c r="N43" i="4"/>
  <c r="N40" i="4"/>
  <c r="Q23" i="4"/>
  <c r="Q18" i="4"/>
  <c r="Q24" i="4"/>
  <c r="Q30" i="4"/>
  <c r="Q33" i="4"/>
  <c r="N38" i="4"/>
  <c r="Q17" i="4"/>
  <c r="N29" i="4"/>
  <c r="O33" i="4"/>
  <c r="O28" i="4"/>
  <c r="N21" i="4"/>
  <c r="O29" i="4"/>
  <c r="F17" i="4"/>
  <c r="Q28" i="4"/>
  <c r="O42" i="4"/>
  <c r="N36" i="4"/>
  <c r="O43" i="4"/>
  <c r="N47" i="4"/>
  <c r="O39" i="4"/>
  <c r="Q44" i="4"/>
  <c r="O35" i="4"/>
  <c r="N37" i="4"/>
  <c r="N28" i="4"/>
  <c r="N24" i="4"/>
  <c r="F20" i="6"/>
  <c r="Q27" i="4"/>
  <c r="O41" i="4"/>
  <c r="S17" i="4"/>
  <c r="N41" i="4"/>
  <c r="Q42" i="4"/>
  <c r="O46" i="4"/>
  <c r="N26" i="4"/>
  <c r="Q20" i="4"/>
  <c r="O17" i="4"/>
  <c r="Q31" i="4"/>
  <c r="Q38" i="4"/>
  <c r="Q35" i="4"/>
  <c r="O22" i="4"/>
  <c r="O19" i="4"/>
  <c r="Q34" i="4"/>
  <c r="O50" i="4"/>
  <c r="N22" i="4"/>
  <c r="O36" i="4"/>
  <c r="Q49" i="4"/>
  <c r="N17" i="4"/>
  <c r="F22" i="6"/>
  <c r="O37" i="4"/>
  <c r="O18" i="4"/>
  <c r="O38" i="4"/>
  <c r="N30" i="4"/>
  <c r="Q25" i="4"/>
  <c r="N48" i="4"/>
  <c r="Q47" i="4"/>
  <c r="N35" i="4"/>
  <c r="O49" i="4"/>
  <c r="O40" i="4"/>
  <c r="Q41" i="4"/>
  <c r="Q37" i="4"/>
  <c r="O27" i="4"/>
  <c r="N27" i="4"/>
  <c r="O23" i="4"/>
  <c r="N46" i="4"/>
  <c r="N19" i="4"/>
  <c r="Q46" i="4"/>
  <c r="N39" i="4"/>
  <c r="O20" i="4"/>
  <c r="Q36" i="4"/>
  <c r="N33" i="4"/>
  <c r="Q22" i="4"/>
  <c r="O32" i="4"/>
  <c r="O30" i="4"/>
  <c r="N20" i="4"/>
  <c r="V20" i="4" s="1"/>
  <c r="G17" i="4"/>
  <c r="Q43" i="4"/>
  <c r="N25" i="4"/>
  <c r="O21" i="4"/>
  <c r="O24" i="4"/>
  <c r="O48" i="4"/>
  <c r="Q45" i="4"/>
  <c r="N34" i="4"/>
  <c r="N18" i="4"/>
  <c r="V18" i="4" s="1"/>
  <c r="Q26" i="4"/>
  <c r="Q19" i="4"/>
  <c r="V19" i="4" s="1"/>
  <c r="N23" i="4"/>
  <c r="O25" i="4"/>
  <c r="N49" i="4"/>
  <c r="O34" i="4"/>
  <c r="E17" i="4"/>
  <c r="Q50" i="4"/>
  <c r="O47" i="4"/>
  <c r="A14" i="4" l="1"/>
  <c r="V17" i="4"/>
</calcChain>
</file>

<file path=xl/sharedStrings.xml><?xml version="1.0" encoding="utf-8"?>
<sst xmlns="http://schemas.openxmlformats.org/spreadsheetml/2006/main" count="143" uniqueCount="106">
  <si>
    <t>MENU PRINCIPAL</t>
  </si>
  <si>
    <t>SIMULADORES</t>
  </si>
  <si>
    <t>TABLAS ISR</t>
  </si>
  <si>
    <t>TABLAS MENSUALES</t>
  </si>
  <si>
    <t>Tarifa del Impuesto Sobre la Renta</t>
  </si>
  <si>
    <t>Límite inferior</t>
  </si>
  <si>
    <t>Límite superior</t>
  </si>
  <si>
    <t>Cuota fija</t>
  </si>
  <si>
    <t>% Sobre excedente del límite inferior</t>
  </si>
  <si>
    <t>En adelante</t>
  </si>
  <si>
    <t>Monto de ingresos que sirven de base para calcular el impuesto</t>
  </si>
  <si>
    <t>Para Ingresos de</t>
  </si>
  <si>
    <t>Hasta Ingresos de</t>
  </si>
  <si>
    <t>Cantidad de subsidio para el empleo mensual</t>
  </si>
  <si>
    <t>TABLAS SEMANALES</t>
  </si>
  <si>
    <t>TABLAS QUINCENALES</t>
  </si>
  <si>
    <t xml:space="preserve">En adelante </t>
  </si>
  <si>
    <t>EMPRESAS</t>
  </si>
  <si>
    <t>IMSS</t>
  </si>
  <si>
    <t>MENSUAL</t>
  </si>
  <si>
    <t>TRABAJADOR</t>
  </si>
  <si>
    <t>Premio Puntualidad</t>
  </si>
  <si>
    <t>Premio Asistencia</t>
  </si>
  <si>
    <t>Vales Despensa</t>
  </si>
  <si>
    <t>Fondo de Ahorro</t>
  </si>
  <si>
    <t>Bono</t>
  </si>
  <si>
    <t>Bono por Eficiencia</t>
  </si>
  <si>
    <t>Ayuda Transporte</t>
  </si>
  <si>
    <t>Viáticos</t>
  </si>
  <si>
    <t>Promedio Hrs Extra al Mes (unidades)</t>
  </si>
  <si>
    <t>Horas Extra Dobles</t>
  </si>
  <si>
    <t>Horas Extra Triples</t>
  </si>
  <si>
    <t>Promedio Días Festivos (unidades)</t>
  </si>
  <si>
    <t>Promedio P. Dominical (unidades)</t>
  </si>
  <si>
    <t>Día Festivo</t>
  </si>
  <si>
    <t>Prima Dominical</t>
  </si>
  <si>
    <t>TOTAL NETO</t>
  </si>
  <si>
    <t>Nombre:</t>
  </si>
  <si>
    <t>Riesgo:</t>
  </si>
  <si>
    <t>DATOS DE COMPAÑÍA</t>
  </si>
  <si>
    <t>PRESTACIONES</t>
  </si>
  <si>
    <t>AGUINALDO</t>
  </si>
  <si>
    <t>PRESTACIONES ADICIONALES</t>
  </si>
  <si>
    <t>Importe o %</t>
  </si>
  <si>
    <t>Cantidad</t>
  </si>
  <si>
    <t>Puntualidad</t>
  </si>
  <si>
    <t>Asistencia</t>
  </si>
  <si>
    <t>F. Ahorro</t>
  </si>
  <si>
    <t>Vales</t>
  </si>
  <si>
    <t>VACACIONES</t>
  </si>
  <si>
    <t>P. VACACIONAL</t>
  </si>
  <si>
    <t>No. Empleado</t>
  </si>
  <si>
    <t>Dato fijo</t>
  </si>
  <si>
    <t>Ingreso de dato</t>
  </si>
  <si>
    <t>Son topados al 10% del salario para no pagar al imss</t>
  </si>
  <si>
    <t>uma</t>
  </si>
  <si>
    <t>mayor a esto mas carga patronal</t>
  </si>
  <si>
    <t>dividir entre 30 y sumar al sueldo d i</t>
  </si>
  <si>
    <t>SEMANAL</t>
  </si>
  <si>
    <t>QUINCENAL</t>
  </si>
  <si>
    <t>CATORCENAL</t>
  </si>
  <si>
    <t>Carga Patronal</t>
  </si>
  <si>
    <t>SIMULADOR</t>
  </si>
  <si>
    <t>PERIODO</t>
  </si>
  <si>
    <t>SI</t>
  </si>
  <si>
    <t>NO</t>
  </si>
  <si>
    <t>Reserva de Finiquito</t>
  </si>
  <si>
    <t>Importe</t>
  </si>
  <si>
    <t>Seleccionable</t>
  </si>
  <si>
    <t>Razon Social</t>
  </si>
  <si>
    <t>RFC</t>
  </si>
  <si>
    <t>Registro Patronal</t>
  </si>
  <si>
    <t>Prima de Riesgo</t>
  </si>
  <si>
    <t>Entidad Federativa</t>
  </si>
  <si>
    <t>Situaciones Ganadoras de Mexico, SA de CV</t>
  </si>
  <si>
    <t>SGM030312DE6</t>
  </si>
  <si>
    <t>D1553602106</t>
  </si>
  <si>
    <t>Morelos</t>
  </si>
  <si>
    <t>Grupo Interdisciplinario de Ingenieria y Servicios</t>
  </si>
  <si>
    <t>GII110330FM9</t>
  </si>
  <si>
    <t>C6213352100</t>
  </si>
  <si>
    <t>Estado de Mexico</t>
  </si>
  <si>
    <t>Faske Industrial, SA de CV</t>
  </si>
  <si>
    <t>FIN0504152B4</t>
  </si>
  <si>
    <t>C6762826108</t>
  </si>
  <si>
    <t>Faske Logistics SA de CV</t>
  </si>
  <si>
    <t>FLO160111686</t>
  </si>
  <si>
    <t>C6763202101</t>
  </si>
  <si>
    <t>Alimentos UB SAPI de CV</t>
  </si>
  <si>
    <t>AUB170117RP6</t>
  </si>
  <si>
    <t>Z2969463103</t>
  </si>
  <si>
    <t>Jalisco</t>
  </si>
  <si>
    <t>Altera Alimentos, SA de CV</t>
  </si>
  <si>
    <t>AAL181107GV8</t>
  </si>
  <si>
    <t>H6831374101</t>
  </si>
  <si>
    <t>0.50000</t>
  </si>
  <si>
    <t>4.65325</t>
  </si>
  <si>
    <t>0.113065</t>
  </si>
  <si>
    <t>Impuesto/Nómina</t>
  </si>
  <si>
    <t>Sueldo</t>
  </si>
  <si>
    <t>prima vaca</t>
  </si>
  <si>
    <t xml:space="preserve">sueldo  diario </t>
  </si>
  <si>
    <t xml:space="preserve">* </t>
  </si>
  <si>
    <t xml:space="preserve">entre </t>
  </si>
  <si>
    <t>vacaciones</t>
  </si>
  <si>
    <t>sueldo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</si>
</sst>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8" formatCode="0.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1"/>
      <name val="Adobe Devanagari"/>
      <family val="1"/>
    </font>
    <font>
      <sz val="48"/>
      <color theme="1"/>
      <name val="Futura"/>
      <family val="1"/>
    </font>
    <font>
      <sz val="60"/>
      <color theme="0"/>
      <name val="Futura"/>
      <family val="1"/>
    </font>
    <font>
      <sz val="50"/>
      <color theme="0"/>
      <name val="Futura"/>
      <family val="1"/>
    </font>
    <font>
      <b/>
      <sz val="10"/>
      <color rgb="FF363636"/>
      <name val="Arial"/>
      <family val="2"/>
    </font>
    <font>
      <sz val="10"/>
      <color rgb="FF000000"/>
      <name val="Arial"/>
      <family val="2"/>
    </font>
    <font>
      <sz val="12"/>
      <name val="Futura"/>
      <family val="1"/>
    </font>
    <font>
      <sz val="12"/>
      <name val="Calibri"/>
      <family val="2"/>
      <scheme val="minor"/>
    </font>
    <font>
      <sz val="9"/>
      <name val="Trebuchet MS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b/>
      <sz val="8"/>
      <name val="Arial"/>
      <family val="2"/>
    </font>
    <font>
      <u/>
      <sz val="11"/>
      <color theme="1"/>
      <name val="Calibri"/>
      <family val="2"/>
      <scheme val="minor"/>
    </font>
    <font>
      <sz val="9"/>
      <color theme="0"/>
      <name val="Trebuchet MS"/>
      <family val="2"/>
    </font>
    <font>
      <b/>
      <sz val="12"/>
      <color theme="1"/>
      <name val="Arial"/>
      <family val="2"/>
    </font>
    <font>
      <sz val="9"/>
      <color theme="1"/>
      <name val="Trebuchet MS"/>
      <family val="2"/>
    </font>
    <font>
      <sz val="10"/>
      <name val="Trebuchet MS"/>
      <family val="2"/>
    </font>
    <font>
      <sz val="10"/>
      <color theme="1"/>
      <name val="Calibri"/>
      <family val="2"/>
      <scheme val="minor"/>
    </font>
    <font>
      <sz val="10"/>
      <color theme="1"/>
      <name val="Trebuchet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9A0B1"/>
        <bgColor indexed="64"/>
      </patternFill>
    </fill>
    <fill>
      <patternFill patternType="solid">
        <fgColor rgb="FFDDFFE7"/>
        <bgColor indexed="64"/>
      </patternFill>
    </fill>
    <fill>
      <patternFill patternType="solid">
        <fgColor rgb="FF167D7F"/>
        <bgColor indexed="64"/>
      </patternFill>
    </fill>
    <fill>
      <patternFill patternType="solid">
        <fgColor rgb="FF98D7C2"/>
        <bgColor indexed="64"/>
      </patternFill>
    </fill>
    <fill>
      <patternFill patternType="solid">
        <fgColor rgb="FF78CDD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/>
  </cellStyleXfs>
  <cellXfs count="106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4" fontId="8" fillId="2" borderId="1" xfId="0" applyNumberFormat="1" applyFont="1" applyFill="1" applyBorder="1" applyAlignment="1">
      <alignment horizontal="right" vertical="top" wrapText="1"/>
    </xf>
    <xf numFmtId="0" fontId="8" fillId="2" borderId="1" xfId="0" applyFont="1" applyFill="1" applyBorder="1" applyAlignment="1">
      <alignment horizontal="right" vertical="top" wrapText="1"/>
    </xf>
    <xf numFmtId="0" fontId="7" fillId="2" borderId="0" xfId="0" applyFont="1" applyFill="1" applyAlignment="1">
      <alignment vertical="top" wrapText="1"/>
    </xf>
    <xf numFmtId="0" fontId="7" fillId="2" borderId="1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vertical="center"/>
    </xf>
    <xf numFmtId="0" fontId="13" fillId="0" borderId="5" xfId="0" applyFont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4" fillId="0" borderId="5" xfId="0" applyFont="1" applyBorder="1" applyAlignment="1">
      <alignment horizontal="center" vertical="center"/>
    </xf>
    <xf numFmtId="41" fontId="17" fillId="0" borderId="4" xfId="1" applyNumberFormat="1" applyFont="1" applyFill="1" applyBorder="1" applyAlignment="1" applyProtection="1">
      <alignment horizontal="center" vertical="center" wrapText="1"/>
    </xf>
    <xf numFmtId="41" fontId="17" fillId="0" borderId="4" xfId="1" applyNumberFormat="1" applyFont="1" applyFill="1" applyBorder="1" applyAlignment="1" applyProtection="1">
      <alignment horizontal="center" vertical="center"/>
    </xf>
    <xf numFmtId="1" fontId="17" fillId="0" borderId="4" xfId="0" applyNumberFormat="1" applyFont="1" applyFill="1" applyBorder="1" applyAlignment="1" applyProtection="1">
      <alignment horizontal="center" vertical="center" wrapText="1"/>
    </xf>
    <xf numFmtId="0" fontId="13" fillId="0" borderId="5" xfId="0" applyNumberFormat="1" applyFont="1" applyFill="1" applyBorder="1" applyAlignment="1" applyProtection="1">
      <alignment horizontal="center" vertical="center"/>
    </xf>
    <xf numFmtId="9" fontId="13" fillId="0" borderId="5" xfId="0" applyNumberFormat="1" applyFont="1" applyFill="1" applyBorder="1" applyAlignment="1" applyProtection="1">
      <alignment horizontal="center" vertical="center"/>
    </xf>
    <xf numFmtId="0" fontId="14" fillId="0" borderId="5" xfId="0" applyNumberFormat="1" applyFont="1" applyBorder="1" applyAlignment="1">
      <alignment horizontal="center" vertical="center"/>
    </xf>
    <xf numFmtId="0" fontId="0" fillId="0" borderId="1" xfId="0" applyBorder="1"/>
    <xf numFmtId="44" fontId="0" fillId="0" borderId="1" xfId="0" applyNumberFormat="1" applyBorder="1"/>
    <xf numFmtId="0" fontId="0" fillId="0" borderId="1" xfId="0" applyFont="1" applyBorder="1"/>
    <xf numFmtId="1" fontId="17" fillId="0" borderId="5" xfId="0" applyNumberFormat="1" applyFont="1" applyFill="1" applyBorder="1" applyAlignment="1" applyProtection="1">
      <alignment horizontal="center" vertical="center" wrapText="1"/>
    </xf>
    <xf numFmtId="0" fontId="2" fillId="2" borderId="0" xfId="0" applyFont="1" applyFill="1"/>
    <xf numFmtId="0" fontId="13" fillId="0" borderId="5" xfId="0" applyNumberFormat="1" applyFont="1" applyBorder="1" applyAlignment="1">
      <alignment horizontal="center"/>
    </xf>
    <xf numFmtId="0" fontId="0" fillId="9" borderId="5" xfId="0" applyFill="1" applyBorder="1"/>
    <xf numFmtId="44" fontId="11" fillId="7" borderId="1" xfId="2" applyFont="1" applyFill="1" applyBorder="1" applyAlignment="1" applyProtection="1">
      <alignment horizontal="center"/>
      <protection locked="0"/>
    </xf>
    <xf numFmtId="0" fontId="0" fillId="8" borderId="5" xfId="0" applyFill="1" applyBorder="1" applyProtection="1"/>
    <xf numFmtId="0" fontId="6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10" fillId="2" borderId="0" xfId="0" applyFont="1" applyFill="1"/>
    <xf numFmtId="0" fontId="10" fillId="2" borderId="0" xfId="0" applyFont="1" applyFill="1" applyAlignment="1">
      <alignment horizontal="center"/>
    </xf>
    <xf numFmtId="0" fontId="18" fillId="2" borderId="0" xfId="0" applyFont="1" applyFill="1"/>
    <xf numFmtId="9" fontId="0" fillId="2" borderId="0" xfId="0" applyNumberFormat="1" applyFill="1"/>
    <xf numFmtId="0" fontId="0" fillId="2" borderId="0" xfId="0" applyFill="1" applyBorder="1"/>
    <xf numFmtId="0" fontId="10" fillId="2" borderId="0" xfId="0" applyFont="1" applyFill="1" applyAlignment="1"/>
    <xf numFmtId="0" fontId="0" fillId="2" borderId="5" xfId="0" applyFill="1" applyBorder="1"/>
    <xf numFmtId="44" fontId="0" fillId="2" borderId="0" xfId="0" applyNumberFormat="1" applyFill="1" applyBorder="1"/>
    <xf numFmtId="0" fontId="0" fillId="2" borderId="0" xfId="0" applyFont="1" applyFill="1" applyBorder="1"/>
    <xf numFmtId="0" fontId="0" fillId="2" borderId="10" xfId="0" applyFill="1" applyBorder="1"/>
    <xf numFmtId="1" fontId="17" fillId="2" borderId="0" xfId="0" applyNumberFormat="1" applyFont="1" applyFill="1" applyBorder="1" applyAlignment="1" applyProtection="1">
      <alignment horizontal="center" vertical="center" wrapText="1"/>
    </xf>
    <xf numFmtId="43" fontId="11" fillId="2" borderId="0" xfId="1" applyFont="1" applyFill="1" applyBorder="1" applyAlignment="1" applyProtection="1"/>
    <xf numFmtId="44" fontId="11" fillId="2" borderId="0" xfId="2" applyFont="1" applyFill="1" applyBorder="1" applyAlignment="1" applyProtection="1">
      <protection locked="0"/>
    </xf>
    <xf numFmtId="43" fontId="11" fillId="2" borderId="0" xfId="3" applyNumberFormat="1" applyFont="1" applyFill="1" applyBorder="1" applyAlignment="1" applyProtection="1"/>
    <xf numFmtId="44" fontId="11" fillId="2" borderId="0" xfId="2" applyFont="1" applyFill="1" applyBorder="1" applyAlignment="1" applyProtection="1"/>
    <xf numFmtId="10" fontId="11" fillId="2" borderId="0" xfId="3" applyNumberFormat="1" applyFont="1" applyFill="1" applyBorder="1" applyAlignment="1" applyProtection="1"/>
    <xf numFmtId="43" fontId="0" fillId="2" borderId="0" xfId="0" applyNumberFormat="1" applyFill="1" applyBorder="1"/>
    <xf numFmtId="44" fontId="11" fillId="7" borderId="5" xfId="2" applyFont="1" applyFill="1" applyBorder="1" applyAlignment="1" applyProtection="1">
      <alignment horizontal="center"/>
      <protection locked="0"/>
    </xf>
    <xf numFmtId="43" fontId="19" fillId="2" borderId="10" xfId="1" applyFont="1" applyFill="1" applyBorder="1" applyAlignment="1" applyProtection="1"/>
    <xf numFmtId="0" fontId="0" fillId="0" borderId="0" xfId="0" applyFill="1"/>
    <xf numFmtId="0" fontId="13" fillId="0" borderId="5" xfId="0" applyFont="1" applyBorder="1"/>
    <xf numFmtId="0" fontId="5" fillId="0" borderId="0" xfId="0" applyFont="1" applyFill="1" applyAlignment="1">
      <alignment vertical="center"/>
    </xf>
    <xf numFmtId="0" fontId="4" fillId="4" borderId="0" xfId="0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0" fontId="15" fillId="3" borderId="9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3" fillId="6" borderId="5" xfId="0" applyFont="1" applyFill="1" applyBorder="1" applyAlignment="1">
      <alignment horizontal="center" vertical="center" wrapText="1"/>
    </xf>
    <xf numFmtId="0" fontId="15" fillId="3" borderId="6" xfId="0" applyFont="1" applyFill="1" applyBorder="1" applyAlignment="1">
      <alignment horizontal="center" vertical="center" wrapText="1"/>
    </xf>
    <xf numFmtId="0" fontId="15" fillId="3" borderId="7" xfId="0" applyFont="1" applyFill="1" applyBorder="1" applyAlignment="1">
      <alignment horizontal="center" vertical="center" wrapText="1"/>
    </xf>
    <xf numFmtId="0" fontId="15" fillId="3" borderId="2" xfId="0" applyFont="1" applyFill="1" applyBorder="1" applyAlignment="1">
      <alignment horizontal="center" vertical="center" wrapText="1"/>
    </xf>
    <xf numFmtId="0" fontId="15" fillId="3" borderId="3" xfId="0" applyFont="1" applyFill="1" applyBorder="1" applyAlignment="1">
      <alignment horizontal="center" vertical="center" wrapText="1"/>
    </xf>
    <xf numFmtId="0" fontId="15" fillId="3" borderId="8" xfId="0" applyFont="1" applyFill="1" applyBorder="1" applyAlignment="1">
      <alignment horizontal="center" vertical="center" wrapText="1"/>
    </xf>
    <xf numFmtId="0" fontId="15" fillId="3" borderId="9" xfId="0" applyFont="1" applyFill="1" applyBorder="1" applyAlignment="1">
      <alignment horizontal="center" vertical="center" wrapText="1"/>
    </xf>
    <xf numFmtId="0" fontId="15" fillId="4" borderId="12" xfId="0" applyFont="1" applyFill="1" applyBorder="1" applyAlignment="1">
      <alignment horizontal="center"/>
    </xf>
    <xf numFmtId="0" fontId="15" fillId="4" borderId="13" xfId="0" applyFont="1" applyFill="1" applyBorder="1" applyAlignment="1">
      <alignment horizontal="center"/>
    </xf>
    <xf numFmtId="0" fontId="15" fillId="4" borderId="14" xfId="0" applyFont="1" applyFill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4" fillId="6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top" wrapText="1"/>
    </xf>
    <xf numFmtId="0" fontId="5" fillId="3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13" fillId="0" borderId="0" xfId="0" applyFont="1" applyFill="1" applyBorder="1"/>
    <xf numFmtId="0" fontId="13" fillId="0" borderId="1" xfId="0" applyFont="1" applyBorder="1"/>
    <xf numFmtId="43" fontId="21" fillId="2" borderId="10" xfId="1" applyFont="1" applyFill="1" applyBorder="1" applyAlignment="1" applyProtection="1"/>
    <xf numFmtId="41" fontId="22" fillId="9" borderId="1" xfId="1" applyNumberFormat="1" applyFont="1" applyFill="1" applyBorder="1" applyAlignment="1" applyProtection="1">
      <alignment horizontal="center"/>
      <protection locked="0"/>
    </xf>
    <xf numFmtId="0" fontId="22" fillId="9" borderId="1" xfId="0" applyFont="1" applyFill="1" applyBorder="1" applyAlignment="1" applyProtection="1">
      <protection locked="0"/>
    </xf>
    <xf numFmtId="44" fontId="22" fillId="9" borderId="1" xfId="2" applyNumberFormat="1" applyFont="1" applyFill="1" applyBorder="1" applyAlignment="1" applyProtection="1">
      <protection locked="0"/>
    </xf>
    <xf numFmtId="44" fontId="22" fillId="7" borderId="1" xfId="2" applyFont="1" applyFill="1" applyBorder="1" applyAlignment="1" applyProtection="1">
      <alignment horizontal="center"/>
      <protection locked="0"/>
    </xf>
    <xf numFmtId="43" fontId="22" fillId="8" borderId="1" xfId="1" applyFont="1" applyFill="1" applyBorder="1" applyAlignment="1" applyProtection="1"/>
    <xf numFmtId="44" fontId="22" fillId="8" borderId="5" xfId="1" applyNumberFormat="1" applyFont="1" applyFill="1" applyBorder="1" applyAlignment="1" applyProtection="1">
      <alignment horizontal="left"/>
    </xf>
    <xf numFmtId="44" fontId="22" fillId="8" borderId="11" xfId="1" applyNumberFormat="1" applyFont="1" applyFill="1" applyBorder="1" applyAlignment="1" applyProtection="1"/>
    <xf numFmtId="0" fontId="22" fillId="9" borderId="1" xfId="1" applyNumberFormat="1" applyFont="1" applyFill="1" applyBorder="1" applyAlignment="1" applyProtection="1">
      <alignment horizontal="center" vertical="center"/>
      <protection locked="0"/>
    </xf>
    <xf numFmtId="44" fontId="22" fillId="8" borderId="1" xfId="1" applyNumberFormat="1" applyFont="1" applyFill="1" applyBorder="1" applyAlignment="1" applyProtection="1">
      <alignment horizontal="left"/>
    </xf>
    <xf numFmtId="0" fontId="22" fillId="9" borderId="1" xfId="1" applyNumberFormat="1" applyFont="1" applyFill="1" applyBorder="1" applyAlignment="1" applyProtection="1">
      <alignment horizontal="center"/>
      <protection locked="0"/>
    </xf>
    <xf numFmtId="44" fontId="22" fillId="8" borderId="1" xfId="1" applyNumberFormat="1" applyFont="1" applyFill="1" applyBorder="1" applyAlignment="1" applyProtection="1"/>
    <xf numFmtId="43" fontId="22" fillId="9" borderId="1" xfId="1" applyFont="1" applyFill="1" applyBorder="1" applyAlignment="1" applyProtection="1">
      <alignment horizontal="center"/>
      <protection locked="0"/>
    </xf>
    <xf numFmtId="0" fontId="23" fillId="9" borderId="1" xfId="0" applyFont="1" applyFill="1" applyBorder="1" applyProtection="1">
      <protection locked="0"/>
    </xf>
    <xf numFmtId="0" fontId="23" fillId="7" borderId="1" xfId="0" applyFont="1" applyFill="1" applyBorder="1" applyAlignment="1" applyProtection="1">
      <alignment horizontal="center"/>
      <protection locked="0"/>
    </xf>
    <xf numFmtId="0" fontId="23" fillId="9" borderId="5" xfId="0" applyNumberFormat="1" applyFont="1" applyFill="1" applyBorder="1" applyAlignment="1" applyProtection="1">
      <alignment horizontal="center"/>
      <protection locked="0"/>
    </xf>
    <xf numFmtId="0" fontId="23" fillId="9" borderId="1" xfId="0" applyFont="1" applyFill="1" applyBorder="1" applyAlignment="1" applyProtection="1">
      <alignment horizontal="center"/>
      <protection locked="0"/>
    </xf>
    <xf numFmtId="0" fontId="23" fillId="8" borderId="1" xfId="0" applyFont="1" applyFill="1" applyBorder="1"/>
    <xf numFmtId="0" fontId="23" fillId="9" borderId="5" xfId="0" applyFont="1" applyFill="1" applyBorder="1" applyAlignment="1">
      <alignment horizontal="center"/>
    </xf>
    <xf numFmtId="44" fontId="24" fillId="9" borderId="1" xfId="0" applyNumberFormat="1" applyFont="1" applyFill="1" applyBorder="1" applyProtection="1">
      <protection locked="0"/>
    </xf>
    <xf numFmtId="44" fontId="22" fillId="9" borderId="1" xfId="1" applyNumberFormat="1" applyFont="1" applyFill="1" applyBorder="1" applyAlignment="1" applyProtection="1">
      <protection locked="0"/>
    </xf>
    <xf numFmtId="44" fontId="22" fillId="9" borderId="5" xfId="1" applyNumberFormat="1" applyFont="1" applyFill="1" applyBorder="1" applyAlignment="1" applyProtection="1">
      <alignment horizontal="left"/>
      <protection locked="0"/>
    </xf>
    <xf numFmtId="44" fontId="22" fillId="9" borderId="5" xfId="1" applyNumberFormat="1" applyFont="1" applyFill="1" applyBorder="1" applyAlignment="1" applyProtection="1">
      <alignment horizontal="center" vertical="center"/>
      <protection locked="0"/>
    </xf>
    <xf numFmtId="44" fontId="22" fillId="9" borderId="5" xfId="1" applyNumberFormat="1" applyFont="1" applyFill="1" applyBorder="1" applyAlignment="1" applyProtection="1">
      <protection locked="0"/>
    </xf>
    <xf numFmtId="44" fontId="23" fillId="9" borderId="5" xfId="0" applyNumberFormat="1" applyFont="1" applyFill="1" applyBorder="1" applyProtection="1">
      <protection locked="0"/>
    </xf>
    <xf numFmtId="44" fontId="23" fillId="9" borderId="5" xfId="0" applyNumberFormat="1" applyFont="1" applyFill="1" applyBorder="1" applyAlignment="1" applyProtection="1">
      <alignment horizontal="center" vertical="center"/>
      <protection locked="0"/>
    </xf>
    <xf numFmtId="168" fontId="16" fillId="0" borderId="5" xfId="0" applyNumberFormat="1" applyFont="1" applyBorder="1" applyAlignment="1">
      <alignment horizontal="center" vertical="center"/>
    </xf>
  </cellXfs>
  <cellStyles count="5">
    <cellStyle name="Millares" xfId="1" builtinId="3"/>
    <cellStyle name="Moneda" xfId="2" builtinId="4"/>
    <cellStyle name="Normal" xfId="0" builtinId="0"/>
    <cellStyle name="Normal 3" xfId="4"/>
    <cellStyle name="Porcentaje" xfId="3" builtinId="5"/>
  </cellStyles>
  <dxfs count="0"/>
  <tableStyles count="0" defaultTableStyle="TableStyleMedium2" defaultPivotStyle="PivotStyleLight16"/>
  <colors>
    <mruColors>
      <color rgb="FF98D7C2"/>
      <color rgb="FF78CDD3"/>
      <color rgb="FF29A0B1"/>
      <color rgb="FFDDFFE7"/>
      <color rgb="FF167D7F"/>
      <color rgb="FF1920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6.png"/><Relationship Id="rId1" Type="http://schemas.openxmlformats.org/officeDocument/2006/relationships/image" Target="../media/image8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12</xdr:row>
          <xdr:rowOff>171450</xdr:rowOff>
        </xdr:from>
        <xdr:to>
          <xdr:col>5</xdr:col>
          <xdr:colOff>0</xdr:colOff>
          <xdr:row>17</xdr:row>
          <xdr:rowOff>19050</xdr:rowOff>
        </xdr:to>
        <xdr:sp macro="" textlink="">
          <xdr:nvSpPr>
            <xdr:cNvPr id="1025" name="simulador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12</xdr:row>
          <xdr:rowOff>180975</xdr:rowOff>
        </xdr:from>
        <xdr:to>
          <xdr:col>9</xdr:col>
          <xdr:colOff>0</xdr:colOff>
          <xdr:row>17</xdr:row>
          <xdr:rowOff>28575</xdr:rowOff>
        </xdr:to>
        <xdr:sp macro="" textlink="">
          <xdr:nvSpPr>
            <xdr:cNvPr id="1026" name="tabla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752475</xdr:colOff>
          <xdr:row>13</xdr:row>
          <xdr:rowOff>9525</xdr:rowOff>
        </xdr:from>
        <xdr:to>
          <xdr:col>13</xdr:col>
          <xdr:colOff>0</xdr:colOff>
          <xdr:row>17</xdr:row>
          <xdr:rowOff>47625</xdr:rowOff>
        </xdr:to>
        <xdr:sp macro="" textlink="">
          <xdr:nvSpPr>
            <xdr:cNvPr id="1027" name="empresa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752475</xdr:colOff>
          <xdr:row>12</xdr:row>
          <xdr:rowOff>190500</xdr:rowOff>
        </xdr:from>
        <xdr:to>
          <xdr:col>17</xdr:col>
          <xdr:colOff>0</xdr:colOff>
          <xdr:row>17</xdr:row>
          <xdr:rowOff>38100</xdr:rowOff>
        </xdr:to>
        <xdr:sp macro="" textlink="">
          <xdr:nvSpPr>
            <xdr:cNvPr id="1028" name="rama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361950</xdr:colOff>
      <xdr:row>19</xdr:row>
      <xdr:rowOff>28575</xdr:rowOff>
    </xdr:from>
    <xdr:to>
      <xdr:col>10</xdr:col>
      <xdr:colOff>353965</xdr:colOff>
      <xdr:row>27</xdr:row>
      <xdr:rowOff>20590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3648075"/>
          <a:ext cx="1516015" cy="15160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723900</xdr:colOff>
      <xdr:row>1</xdr:row>
      <xdr:rowOff>0</xdr:rowOff>
    </xdr:from>
    <xdr:to>
      <xdr:col>1</xdr:col>
      <xdr:colOff>704849</xdr:colOff>
      <xdr:row>4</xdr:row>
      <xdr:rowOff>171449</xdr:rowOff>
    </xdr:to>
    <xdr:pic macro="[0]!Imagen4_Haga_clic_en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23900" y="190500"/>
          <a:ext cx="742949" cy="742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180975</xdr:colOff>
      <xdr:row>0</xdr:row>
      <xdr:rowOff>95250</xdr:rowOff>
    </xdr:from>
    <xdr:to>
      <xdr:col>13</xdr:col>
      <xdr:colOff>353965</xdr:colOff>
      <xdr:row>5</xdr:row>
      <xdr:rowOff>106315</xdr:rowOff>
    </xdr:to>
    <xdr:pic macro="[0]!Imagen4_Haga_clic_en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77800" y="95250"/>
          <a:ext cx="963565" cy="9635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25220</xdr:colOff>
      <xdr:row>0</xdr:row>
      <xdr:rowOff>104774</xdr:rowOff>
    </xdr:from>
    <xdr:to>
      <xdr:col>13</xdr:col>
      <xdr:colOff>285750</xdr:colOff>
      <xdr:row>4</xdr:row>
      <xdr:rowOff>76200</xdr:rowOff>
    </xdr:to>
    <xdr:pic macro="[0]!Imagen2_Haga_clic_en"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483" b="8908"/>
        <a:stretch/>
      </xdr:blipFill>
      <xdr:spPr>
        <a:xfrm>
          <a:off x="12274370" y="104774"/>
          <a:ext cx="898705" cy="733426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123825</xdr:colOff>
      <xdr:row>1</xdr:row>
      <xdr:rowOff>66674</xdr:rowOff>
    </xdr:from>
    <xdr:to>
      <xdr:col>2</xdr:col>
      <xdr:colOff>866774</xdr:colOff>
      <xdr:row>3</xdr:row>
      <xdr:rowOff>171450</xdr:rowOff>
    </xdr:to>
    <xdr:pic macro="[0]!regresarS"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384" b="19231"/>
        <a:stretch/>
      </xdr:blipFill>
      <xdr:spPr>
        <a:xfrm rot="10800000">
          <a:off x="3219450" y="257174"/>
          <a:ext cx="742949" cy="485776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0</xdr:row>
      <xdr:rowOff>95250</xdr:rowOff>
    </xdr:from>
    <xdr:to>
      <xdr:col>3</xdr:col>
      <xdr:colOff>828675</xdr:colOff>
      <xdr:row>4</xdr:row>
      <xdr:rowOff>85725</xdr:rowOff>
    </xdr:to>
    <xdr:pic macro="[0]!editarM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0025" y="95250"/>
          <a:ext cx="752475" cy="752475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0</xdr:row>
      <xdr:rowOff>180975</xdr:rowOff>
    </xdr:from>
    <xdr:to>
      <xdr:col>11</xdr:col>
      <xdr:colOff>752475</xdr:colOff>
      <xdr:row>4</xdr:row>
      <xdr:rowOff>0</xdr:rowOff>
    </xdr:to>
    <xdr:pic macro="[0]!limpiar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prstClr val="black"/>
            <a:srgbClr val="0070C0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0" y="180975"/>
          <a:ext cx="581025" cy="5810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733425</xdr:colOff>
      <xdr:row>0</xdr:row>
      <xdr:rowOff>142875</xdr:rowOff>
    </xdr:from>
    <xdr:to>
      <xdr:col>19</xdr:col>
      <xdr:colOff>123825</xdr:colOff>
      <xdr:row>5</xdr:row>
      <xdr:rowOff>104775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7450" y="1428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742950</xdr:colOff>
      <xdr:row>1</xdr:row>
      <xdr:rowOff>9525</xdr:rowOff>
    </xdr:from>
    <xdr:to>
      <xdr:col>1</xdr:col>
      <xdr:colOff>723899</xdr:colOff>
      <xdr:row>4</xdr:row>
      <xdr:rowOff>180974</xdr:rowOff>
    </xdr:to>
    <xdr:pic macro="[0]!regresarT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42950" y="200025"/>
          <a:ext cx="742949" cy="7429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10</xdr:row>
          <xdr:rowOff>47625</xdr:rowOff>
        </xdr:from>
        <xdr:to>
          <xdr:col>6</xdr:col>
          <xdr:colOff>333375</xdr:colOff>
          <xdr:row>15</xdr:row>
          <xdr:rowOff>133350</xdr:rowOff>
        </xdr:to>
        <xdr:sp macro="" textlink="">
          <xdr:nvSpPr>
            <xdr:cNvPr id="2049" name="mensual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10</xdr:row>
          <xdr:rowOff>57150</xdr:rowOff>
        </xdr:from>
        <xdr:to>
          <xdr:col>16</xdr:col>
          <xdr:colOff>276225</xdr:colOff>
          <xdr:row>15</xdr:row>
          <xdr:rowOff>142875</xdr:rowOff>
        </xdr:to>
        <xdr:sp macro="" textlink="">
          <xdr:nvSpPr>
            <xdr:cNvPr id="2050" name="semana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66675</xdr:rowOff>
        </xdr:from>
        <xdr:to>
          <xdr:col>11</xdr:col>
          <xdr:colOff>428625</xdr:colOff>
          <xdr:row>15</xdr:row>
          <xdr:rowOff>152400</xdr:rowOff>
        </xdr:to>
        <xdr:sp macro="" textlink="">
          <xdr:nvSpPr>
            <xdr:cNvPr id="2051" name="quincenal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381000</xdr:colOff>
      <xdr:row>0</xdr:row>
      <xdr:rowOff>95250</xdr:rowOff>
    </xdr:from>
    <xdr:to>
      <xdr:col>18</xdr:col>
      <xdr:colOff>582565</xdr:colOff>
      <xdr:row>5</xdr:row>
      <xdr:rowOff>125365</xdr:rowOff>
    </xdr:to>
    <xdr:pic macro="[0]!Imagen4_Haga_clic_en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95250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1</xdr:row>
      <xdr:rowOff>0</xdr:rowOff>
    </xdr:from>
    <xdr:to>
      <xdr:col>1</xdr:col>
      <xdr:colOff>647699</xdr:colOff>
      <xdr:row>4</xdr:row>
      <xdr:rowOff>190499</xdr:rowOff>
    </xdr:to>
    <xdr:pic macro="[0]!Imagen4_Haga_clic_en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66750" y="190500"/>
          <a:ext cx="742949" cy="74294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9</xdr:row>
          <xdr:rowOff>19050</xdr:rowOff>
        </xdr:from>
        <xdr:to>
          <xdr:col>8</xdr:col>
          <xdr:colOff>447675</xdr:colOff>
          <xdr:row>14</xdr:row>
          <xdr:rowOff>104775</xdr:rowOff>
        </xdr:to>
        <xdr:sp macro="" textlink="">
          <xdr:nvSpPr>
            <xdr:cNvPr id="3076" name="mensualISR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20</xdr:row>
          <xdr:rowOff>0</xdr:rowOff>
        </xdr:from>
        <xdr:to>
          <xdr:col>14</xdr:col>
          <xdr:colOff>571500</xdr:colOff>
          <xdr:row>25</xdr:row>
          <xdr:rowOff>85725</xdr:rowOff>
        </xdr:to>
        <xdr:sp macro="" textlink="">
          <xdr:nvSpPr>
            <xdr:cNvPr id="3077" name="semanalISR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8</xdr:row>
          <xdr:rowOff>161925</xdr:rowOff>
        </xdr:from>
        <xdr:to>
          <xdr:col>14</xdr:col>
          <xdr:colOff>533400</xdr:colOff>
          <xdr:row>14</xdr:row>
          <xdr:rowOff>57150</xdr:rowOff>
        </xdr:to>
        <xdr:sp macro="" textlink="">
          <xdr:nvSpPr>
            <xdr:cNvPr id="3078" name="quincenalISR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457200</xdr:colOff>
      <xdr:row>0</xdr:row>
      <xdr:rowOff>85725</xdr:rowOff>
    </xdr:from>
    <xdr:to>
      <xdr:col>18</xdr:col>
      <xdr:colOff>658765</xdr:colOff>
      <xdr:row>5</xdr:row>
      <xdr:rowOff>96790</xdr:rowOff>
    </xdr:to>
    <xdr:pic macro="[0]!Imagen4_Haga_clic_en"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85725"/>
          <a:ext cx="963565" cy="96356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742949</xdr:colOff>
      <xdr:row>4</xdr:row>
      <xdr:rowOff>171449</xdr:rowOff>
    </xdr:to>
    <xdr:pic macro="[0]!Imagen4_Haga_clic_en"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62000" y="190500"/>
          <a:ext cx="742949" cy="7429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19</xdr:row>
          <xdr:rowOff>180975</xdr:rowOff>
        </xdr:from>
        <xdr:to>
          <xdr:col>8</xdr:col>
          <xdr:colOff>409575</xdr:colOff>
          <xdr:row>25</xdr:row>
          <xdr:rowOff>76200</xdr:rowOff>
        </xdr:to>
        <xdr:sp macro="" textlink="">
          <xdr:nvSpPr>
            <xdr:cNvPr id="3079" name="catorcenal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658765</xdr:colOff>
      <xdr:row>0</xdr:row>
      <xdr:rowOff>104775</xdr:rowOff>
    </xdr:from>
    <xdr:to>
      <xdr:col>19</xdr:col>
      <xdr:colOff>49165</xdr:colOff>
      <xdr:row>5</xdr:row>
      <xdr:rowOff>66675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2790" y="1047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752475</xdr:colOff>
      <xdr:row>0</xdr:row>
      <xdr:rowOff>190499</xdr:rowOff>
    </xdr:from>
    <xdr:to>
      <xdr:col>1</xdr:col>
      <xdr:colOff>733424</xdr:colOff>
      <xdr:row>4</xdr:row>
      <xdr:rowOff>171448</xdr:rowOff>
    </xdr:to>
    <xdr:pic macro="[0]!regresarT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52475" y="190499"/>
          <a:ext cx="742949" cy="74294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695325</xdr:colOff>
      <xdr:row>0</xdr:row>
      <xdr:rowOff>114300</xdr:rowOff>
    </xdr:from>
    <xdr:to>
      <xdr:col>19</xdr:col>
      <xdr:colOff>85725</xdr:colOff>
      <xdr:row>5</xdr:row>
      <xdr:rowOff>76200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9350" y="1143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742950</xdr:colOff>
      <xdr:row>1</xdr:row>
      <xdr:rowOff>0</xdr:rowOff>
    </xdr:from>
    <xdr:to>
      <xdr:col>1</xdr:col>
      <xdr:colOff>723899</xdr:colOff>
      <xdr:row>4</xdr:row>
      <xdr:rowOff>171449</xdr:rowOff>
    </xdr:to>
    <xdr:pic macro="[0]!regresarT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42950" y="190500"/>
          <a:ext cx="742949" cy="7429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6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9.xml"/><Relationship Id="rId10" Type="http://schemas.openxmlformats.org/officeDocument/2006/relationships/image" Target="../media/image18.emf"/><Relationship Id="rId4" Type="http://schemas.openxmlformats.org/officeDocument/2006/relationships/image" Target="../media/image15.emf"/><Relationship Id="rId9" Type="http://schemas.openxmlformats.org/officeDocument/2006/relationships/control" Target="../activeX/activeX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34"/>
  <sheetViews>
    <sheetView workbookViewId="0">
      <selection activeCell="C6" sqref="C6:Q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1"/>
      <c r="S2" s="1"/>
      <c r="T2" s="1"/>
      <c r="U2" s="1"/>
      <c r="V2" s="1"/>
      <c r="W2" s="1"/>
      <c r="X2" s="1"/>
    </row>
    <row r="3" spans="1:24" ht="15" customHeight="1" x14ac:dyDescent="0.25">
      <c r="A3" s="1"/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1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53" t="s">
        <v>0</v>
      </c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6:Q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imuladores">
          <controlPr defaultSize="0" autoLine="0" r:id="rId5">
            <anchor moveWithCells="1">
              <from>
                <xdr:col>1</xdr:col>
                <xdr:colOff>752475</xdr:colOff>
                <xdr:row>12</xdr:row>
                <xdr:rowOff>171450</xdr:rowOff>
              </from>
              <to>
                <xdr:col>5</xdr:col>
                <xdr:colOff>0</xdr:colOff>
                <xdr:row>17</xdr:row>
                <xdr:rowOff>19050</xdr:rowOff>
              </to>
            </anchor>
          </controlPr>
        </control>
      </mc:Choice>
      <mc:Fallback>
        <control shapeId="1025" r:id="rId4" name="simuladores"/>
      </mc:Fallback>
    </mc:AlternateContent>
    <mc:AlternateContent xmlns:mc="http://schemas.openxmlformats.org/markup-compatibility/2006">
      <mc:Choice Requires="x14">
        <control shapeId="1026" r:id="rId6" name="tablas">
          <controlPr defaultSize="0" autoLine="0" r:id="rId7">
            <anchor moveWithCells="1">
              <from>
                <xdr:col>5</xdr:col>
                <xdr:colOff>752475</xdr:colOff>
                <xdr:row>12</xdr:row>
                <xdr:rowOff>180975</xdr:rowOff>
              </from>
              <to>
                <xdr:col>9</xdr:col>
                <xdr:colOff>0</xdr:colOff>
                <xdr:row>17</xdr:row>
                <xdr:rowOff>28575</xdr:rowOff>
              </to>
            </anchor>
          </controlPr>
        </control>
      </mc:Choice>
      <mc:Fallback>
        <control shapeId="1026" r:id="rId6" name="tablas"/>
      </mc:Fallback>
    </mc:AlternateContent>
    <mc:AlternateContent xmlns:mc="http://schemas.openxmlformats.org/markup-compatibility/2006">
      <mc:Choice Requires="x14">
        <control shapeId="1027" r:id="rId8" name="empresas">
          <controlPr defaultSize="0" autoLine="0" r:id="rId9">
            <anchor moveWithCells="1">
              <from>
                <xdr:col>9</xdr:col>
                <xdr:colOff>752475</xdr:colOff>
                <xdr:row>13</xdr:row>
                <xdr:rowOff>9525</xdr:rowOff>
              </from>
              <to>
                <xdr:col>13</xdr:col>
                <xdr:colOff>0</xdr:colOff>
                <xdr:row>17</xdr:row>
                <xdr:rowOff>47625</xdr:rowOff>
              </to>
            </anchor>
          </controlPr>
        </control>
      </mc:Choice>
      <mc:Fallback>
        <control shapeId="1027" r:id="rId8" name="empresas"/>
      </mc:Fallback>
    </mc:AlternateContent>
    <mc:AlternateContent xmlns:mc="http://schemas.openxmlformats.org/markup-compatibility/2006">
      <mc:Choice Requires="x14">
        <control shapeId="1028" r:id="rId10" name="ramas">
          <controlPr defaultSize="0" autoLine="0" autoPict="0" r:id="rId11">
            <anchor moveWithCells="1">
              <from>
                <xdr:col>13</xdr:col>
                <xdr:colOff>752475</xdr:colOff>
                <xdr:row>12</xdr:row>
                <xdr:rowOff>190500</xdr:rowOff>
              </from>
              <to>
                <xdr:col>17</xdr:col>
                <xdr:colOff>0</xdr:colOff>
                <xdr:row>17</xdr:row>
                <xdr:rowOff>38100</xdr:rowOff>
              </to>
            </anchor>
          </controlPr>
        </control>
      </mc:Choice>
      <mc:Fallback>
        <control shapeId="1028" r:id="rId10" name="rama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C2:Q18"/>
  <sheetViews>
    <sheetView topLeftCell="A4" zoomScaleNormal="100" workbookViewId="0">
      <selection activeCell="K18" sqref="K18"/>
    </sheetView>
  </sheetViews>
  <sheetFormatPr baseColWidth="10" defaultRowHeight="15" x14ac:dyDescent="0.25"/>
  <cols>
    <col min="3" max="3" width="45.140625" customWidth="1"/>
    <col min="4" max="4" width="15.7109375" customWidth="1"/>
    <col min="5" max="5" width="17" customWidth="1"/>
    <col min="6" max="6" width="15.140625" customWidth="1"/>
    <col min="7" max="7" width="18.85546875" customWidth="1"/>
    <col min="8" max="8" width="13.28515625" customWidth="1"/>
    <col min="13" max="13" width="11.85546875" bestFit="1" customWidth="1"/>
  </cols>
  <sheetData>
    <row r="2" spans="3:17" ht="15" customHeight="1" x14ac:dyDescent="0.25">
      <c r="C2" s="56" t="s">
        <v>17</v>
      </c>
      <c r="D2" s="56"/>
      <c r="E2" s="56"/>
      <c r="F2" s="56"/>
      <c r="G2" s="56"/>
      <c r="H2" s="56"/>
      <c r="I2" s="56"/>
      <c r="J2" s="56"/>
      <c r="K2" s="56"/>
      <c r="L2" s="56"/>
      <c r="M2" s="52"/>
      <c r="N2" s="52"/>
      <c r="O2" s="52"/>
      <c r="P2" s="52"/>
      <c r="Q2" s="52"/>
    </row>
    <row r="3" spans="3:17" ht="15" customHeight="1" x14ac:dyDescent="0.25">
      <c r="C3" s="56"/>
      <c r="D3" s="56"/>
      <c r="E3" s="56"/>
      <c r="F3" s="56"/>
      <c r="G3" s="56"/>
      <c r="H3" s="56"/>
      <c r="I3" s="56"/>
      <c r="J3" s="56"/>
      <c r="K3" s="56"/>
      <c r="L3" s="56"/>
      <c r="M3" s="52"/>
      <c r="N3" s="52"/>
      <c r="O3" s="52"/>
      <c r="P3" s="52"/>
      <c r="Q3" s="52"/>
    </row>
    <row r="4" spans="3:17" ht="15" customHeight="1" x14ac:dyDescent="0.25">
      <c r="C4" s="56"/>
      <c r="D4" s="56"/>
      <c r="E4" s="56"/>
      <c r="F4" s="56"/>
      <c r="G4" s="56"/>
      <c r="H4" s="56"/>
      <c r="I4" s="56"/>
      <c r="J4" s="56"/>
      <c r="K4" s="56"/>
      <c r="L4" s="56"/>
      <c r="M4" s="52"/>
      <c r="N4" s="52"/>
      <c r="O4" s="52"/>
      <c r="P4" s="52"/>
      <c r="Q4" s="52"/>
    </row>
    <row r="5" spans="3:17" ht="15" customHeight="1" x14ac:dyDescent="0.25">
      <c r="C5" s="56"/>
      <c r="D5" s="56"/>
      <c r="E5" s="56"/>
      <c r="F5" s="56"/>
      <c r="G5" s="56"/>
      <c r="H5" s="56"/>
      <c r="I5" s="56"/>
      <c r="J5" s="56"/>
      <c r="K5" s="56"/>
      <c r="L5" s="56"/>
      <c r="M5" s="52"/>
      <c r="N5" s="52"/>
      <c r="O5" s="52"/>
      <c r="P5" s="52"/>
      <c r="Q5" s="52"/>
    </row>
    <row r="10" spans="3:17" ht="30" customHeight="1" x14ac:dyDescent="0.25">
      <c r="C10" s="54" t="s">
        <v>69</v>
      </c>
      <c r="D10" s="55" t="s">
        <v>70</v>
      </c>
      <c r="E10" s="54" t="s">
        <v>71</v>
      </c>
      <c r="F10" s="54" t="s">
        <v>72</v>
      </c>
      <c r="G10" s="54" t="s">
        <v>73</v>
      </c>
      <c r="H10" s="54" t="s">
        <v>98</v>
      </c>
    </row>
    <row r="11" spans="3:17" x14ac:dyDescent="0.25">
      <c r="C11" s="54"/>
      <c r="D11" s="55"/>
      <c r="E11" s="54"/>
      <c r="F11" s="54"/>
      <c r="G11" s="54"/>
      <c r="H11" s="54"/>
      <c r="K11" s="50"/>
    </row>
    <row r="12" spans="3:17" x14ac:dyDescent="0.25">
      <c r="C12" s="51" t="s">
        <v>74</v>
      </c>
      <c r="D12" s="51" t="s">
        <v>75</v>
      </c>
      <c r="E12" s="51" t="s">
        <v>76</v>
      </c>
      <c r="F12" s="51" t="s">
        <v>95</v>
      </c>
      <c r="G12" s="12" t="s">
        <v>77</v>
      </c>
      <c r="H12" s="51">
        <v>0.02</v>
      </c>
    </row>
    <row r="13" spans="3:17" x14ac:dyDescent="0.25">
      <c r="C13" s="51" t="s">
        <v>78</v>
      </c>
      <c r="D13" s="51" t="s">
        <v>79</v>
      </c>
      <c r="E13" s="51" t="s">
        <v>80</v>
      </c>
      <c r="F13" s="51" t="s">
        <v>95</v>
      </c>
      <c r="G13" s="12" t="s">
        <v>81</v>
      </c>
      <c r="H13" s="51">
        <v>0.03</v>
      </c>
    </row>
    <row r="14" spans="3:17" x14ac:dyDescent="0.25">
      <c r="C14" s="51" t="s">
        <v>82</v>
      </c>
      <c r="D14" s="51" t="s">
        <v>83</v>
      </c>
      <c r="E14" s="51" t="s">
        <v>84</v>
      </c>
      <c r="F14" s="51" t="s">
        <v>96</v>
      </c>
      <c r="G14" s="12" t="s">
        <v>81</v>
      </c>
      <c r="H14" s="51">
        <v>0.03</v>
      </c>
    </row>
    <row r="15" spans="3:17" x14ac:dyDescent="0.25">
      <c r="C15" s="51" t="s">
        <v>85</v>
      </c>
      <c r="D15" s="51" t="s">
        <v>86</v>
      </c>
      <c r="E15" s="51" t="s">
        <v>87</v>
      </c>
      <c r="F15" s="51" t="s">
        <v>96</v>
      </c>
      <c r="G15" s="12" t="s">
        <v>81</v>
      </c>
      <c r="H15" s="51">
        <v>0.03</v>
      </c>
    </row>
    <row r="16" spans="3:17" x14ac:dyDescent="0.25">
      <c r="C16" s="51" t="s">
        <v>88</v>
      </c>
      <c r="D16" s="51" t="s">
        <v>89</v>
      </c>
      <c r="E16" s="51" t="s">
        <v>90</v>
      </c>
      <c r="F16" s="51" t="s">
        <v>97</v>
      </c>
      <c r="G16" s="12" t="s">
        <v>91</v>
      </c>
      <c r="H16" s="51">
        <v>0.03</v>
      </c>
    </row>
    <row r="17" spans="3:8" x14ac:dyDescent="0.25">
      <c r="C17" s="78" t="s">
        <v>92</v>
      </c>
      <c r="D17" s="51" t="s">
        <v>93</v>
      </c>
      <c r="E17" s="51" t="s">
        <v>94</v>
      </c>
      <c r="F17" s="51" t="s">
        <v>97</v>
      </c>
      <c r="G17" s="12" t="s">
        <v>91</v>
      </c>
      <c r="H17" s="51">
        <v>0.03</v>
      </c>
    </row>
    <row r="18" spans="3:8" x14ac:dyDescent="0.25">
      <c r="C18" s="77"/>
    </row>
  </sheetData>
  <mergeCells count="7">
    <mergeCell ref="H10:H11"/>
    <mergeCell ref="C2:L5"/>
    <mergeCell ref="C10:C11"/>
    <mergeCell ref="D10:D11"/>
    <mergeCell ref="E10:E11"/>
    <mergeCell ref="F10:F11"/>
    <mergeCell ref="G10:G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Q27"/>
  <sheetViews>
    <sheetView workbookViewId="0">
      <selection activeCell="M13" sqref="M13"/>
    </sheetView>
  </sheetViews>
  <sheetFormatPr baseColWidth="10" defaultRowHeight="15" x14ac:dyDescent="0.25"/>
  <sheetData>
    <row r="2" spans="3:17" x14ac:dyDescent="0.25">
      <c r="C2" s="56" t="s">
        <v>18</v>
      </c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3:17" x14ac:dyDescent="0.25"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</row>
    <row r="4" spans="3:17" x14ac:dyDescent="0.25"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</row>
    <row r="5" spans="3:17" x14ac:dyDescent="0.25"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</row>
    <row r="11" spans="3:17" x14ac:dyDescent="0.25">
      <c r="I11" t="s">
        <v>100</v>
      </c>
      <c r="J11" t="s">
        <v>101</v>
      </c>
      <c r="K11" t="s">
        <v>102</v>
      </c>
      <c r="L11">
        <v>6</v>
      </c>
      <c r="M11" t="s">
        <v>103</v>
      </c>
      <c r="N11">
        <v>0.25</v>
      </c>
    </row>
    <row r="13" spans="3:17" x14ac:dyDescent="0.25">
      <c r="I13" t="s">
        <v>104</v>
      </c>
      <c r="J13" t="s">
        <v>105</v>
      </c>
      <c r="K13" t="s">
        <v>102</v>
      </c>
      <c r="L13">
        <v>6</v>
      </c>
    </row>
    <row r="19" spans="5:12" ht="72" x14ac:dyDescent="0.25">
      <c r="E19" s="8"/>
      <c r="F19" s="8"/>
      <c r="G19" s="8"/>
    </row>
    <row r="20" spans="5:12" x14ac:dyDescent="0.25">
      <c r="E20" s="21">
        <v>3380</v>
      </c>
      <c r="F20" s="21">
        <f>ISR(E20,isr_quincenal,subsidio_qunicenal)</f>
        <v>107.49819200000005</v>
      </c>
      <c r="G20" s="20"/>
      <c r="H20" s="20"/>
      <c r="I20" s="20"/>
      <c r="J20" s="20"/>
      <c r="K20" s="20"/>
      <c r="L20" s="20"/>
    </row>
    <row r="21" spans="5:12" x14ac:dyDescent="0.25">
      <c r="E21" s="20"/>
      <c r="F21" s="20"/>
      <c r="G21" s="20"/>
      <c r="H21" s="20"/>
      <c r="I21" s="20"/>
      <c r="J21" s="20"/>
      <c r="K21" s="20"/>
      <c r="L21" s="20"/>
    </row>
    <row r="22" spans="5:12" x14ac:dyDescent="0.25">
      <c r="E22" s="20">
        <v>1220</v>
      </c>
      <c r="F22" s="21">
        <f>ISR(E22,isr_semanal,subsidio_semanal)</f>
        <v>0</v>
      </c>
      <c r="G22" s="20"/>
      <c r="H22" s="20"/>
      <c r="I22" s="20"/>
      <c r="J22" s="20"/>
      <c r="K22" s="20"/>
      <c r="L22" s="20"/>
    </row>
    <row r="23" spans="5:12" x14ac:dyDescent="0.25">
      <c r="E23" s="20"/>
      <c r="F23" s="20"/>
      <c r="G23" s="20"/>
      <c r="H23" s="20" t="s">
        <v>56</v>
      </c>
      <c r="I23" s="20"/>
      <c r="J23" s="20"/>
      <c r="K23" s="20"/>
      <c r="L23" s="20"/>
    </row>
    <row r="24" spans="5:12" x14ac:dyDescent="0.25">
      <c r="E24" s="20" t="s">
        <v>55</v>
      </c>
      <c r="F24" s="20">
        <v>96.22</v>
      </c>
      <c r="G24" s="20">
        <f>F24*30</f>
        <v>2886.6</v>
      </c>
      <c r="H24" s="20">
        <f>G24*0.4</f>
        <v>1154.6400000000001</v>
      </c>
      <c r="I24" s="20">
        <f>1300-H24</f>
        <v>145.3599999999999</v>
      </c>
      <c r="J24" s="20" t="s">
        <v>57</v>
      </c>
      <c r="K24" s="20"/>
      <c r="L24" s="20"/>
    </row>
    <row r="25" spans="5:12" x14ac:dyDescent="0.25">
      <c r="E25" s="28"/>
      <c r="F25" s="20"/>
      <c r="G25" s="20"/>
      <c r="H25" s="20"/>
      <c r="I25" s="20"/>
      <c r="J25" s="20"/>
      <c r="K25" s="22"/>
      <c r="L25" s="20"/>
    </row>
    <row r="26" spans="5:12" x14ac:dyDescent="0.25">
      <c r="E26" s="26"/>
      <c r="F26" s="20" t="s">
        <v>54</v>
      </c>
      <c r="G26" s="20"/>
      <c r="H26" s="20"/>
      <c r="I26" s="20"/>
      <c r="J26" s="20"/>
      <c r="K26" s="20"/>
      <c r="L26" s="20"/>
    </row>
    <row r="27" spans="5:12" ht="16.5" x14ac:dyDescent="0.35">
      <c r="E27" s="27"/>
      <c r="F27" s="20"/>
      <c r="G27" s="20"/>
      <c r="H27" s="20"/>
      <c r="I27" s="20"/>
      <c r="J27" s="20"/>
      <c r="K27" s="20"/>
      <c r="L27" s="20"/>
    </row>
  </sheetData>
  <mergeCells count="1">
    <mergeCell ref="C2:Q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N311"/>
  <sheetViews>
    <sheetView tabSelected="1" topLeftCell="G4" workbookViewId="0">
      <selection activeCell="P13" sqref="P13"/>
    </sheetView>
  </sheetViews>
  <sheetFormatPr baseColWidth="10" defaultRowHeight="15" x14ac:dyDescent="0.25"/>
  <cols>
    <col min="1" max="1" width="12.28515625" customWidth="1"/>
    <col min="2" max="2" width="34.7109375" customWidth="1"/>
    <col min="3" max="3" width="15.28515625" customWidth="1"/>
    <col min="4" max="4" width="13" customWidth="1"/>
    <col min="5" max="5" width="14.28515625" customWidth="1"/>
    <col min="6" max="6" width="14.85546875" customWidth="1"/>
    <col min="7" max="7" width="13.7109375" customWidth="1"/>
    <col min="8" max="8" width="14.85546875" customWidth="1"/>
    <col min="9" max="9" width="14.140625" customWidth="1"/>
    <col min="10" max="10" width="14.7109375" customWidth="1"/>
    <col min="11" max="12" width="13.140625" customWidth="1"/>
    <col min="13" max="13" width="9.5703125" customWidth="1"/>
    <col min="14" max="14" width="14.42578125" customWidth="1"/>
    <col min="15" max="15" width="12.140625" customWidth="1"/>
    <col min="16" max="16" width="14.140625" customWidth="1"/>
    <col min="20" max="20" width="12.42578125" customWidth="1"/>
    <col min="21" max="21" width="13.7109375" customWidth="1"/>
    <col min="22" max="22" width="16.28515625" customWidth="1"/>
  </cols>
  <sheetData>
    <row r="1" spans="1:40" ht="15" customHeight="1" x14ac:dyDescent="0.25">
      <c r="A1" s="1"/>
      <c r="B1" s="1"/>
      <c r="C1" s="29"/>
      <c r="D1" s="29"/>
      <c r="E1" s="29" t="s">
        <v>19</v>
      </c>
      <c r="F1" s="24" t="s">
        <v>58</v>
      </c>
      <c r="G1" s="29" t="s">
        <v>59</v>
      </c>
      <c r="H1" s="29" t="s">
        <v>60</v>
      </c>
      <c r="I1" s="29"/>
      <c r="J1" s="29"/>
      <c r="K1" s="29"/>
      <c r="L1" s="29"/>
      <c r="M1" s="29"/>
      <c r="N1" s="29"/>
      <c r="O1" s="29"/>
      <c r="P1" s="29"/>
      <c r="Q1" s="29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spans="1:40" ht="15" customHeight="1" x14ac:dyDescent="0.25">
      <c r="A2" s="1"/>
      <c r="B2" s="29"/>
      <c r="C2" s="29"/>
      <c r="D2" s="29"/>
      <c r="E2" s="59" t="s">
        <v>62</v>
      </c>
      <c r="F2" s="59"/>
      <c r="G2" s="59"/>
      <c r="H2" s="59"/>
      <c r="I2" s="59"/>
      <c r="J2" s="59"/>
      <c r="K2" s="59"/>
      <c r="L2" s="29"/>
      <c r="M2" s="29"/>
      <c r="N2" s="29"/>
      <c r="O2" s="38"/>
      <c r="P2" s="38"/>
      <c r="Q2" s="35"/>
      <c r="R2" s="35"/>
      <c r="S2" s="35"/>
      <c r="T2" s="35"/>
      <c r="U2" s="3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ht="15" customHeight="1" x14ac:dyDescent="0.25">
      <c r="A3" s="1"/>
      <c r="B3" s="29"/>
      <c r="C3" s="29"/>
      <c r="D3" s="29"/>
      <c r="E3" s="59"/>
      <c r="F3" s="59"/>
      <c r="G3" s="59"/>
      <c r="H3" s="59"/>
      <c r="I3" s="59"/>
      <c r="J3" s="59"/>
      <c r="K3" s="59"/>
      <c r="L3" s="29"/>
      <c r="M3" s="29"/>
      <c r="N3" s="29"/>
      <c r="O3" s="35"/>
      <c r="P3" s="35"/>
      <c r="Q3" s="35"/>
      <c r="R3" s="35"/>
      <c r="S3" s="35"/>
      <c r="T3" s="35"/>
      <c r="U3" s="35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spans="1:40" ht="15" customHeight="1" x14ac:dyDescent="0.25">
      <c r="A4" s="1"/>
      <c r="B4" s="1"/>
      <c r="C4" s="30"/>
      <c r="D4" s="30"/>
      <c r="E4" s="59"/>
      <c r="F4" s="59"/>
      <c r="G4" s="59"/>
      <c r="H4" s="59"/>
      <c r="I4" s="59"/>
      <c r="J4" s="59"/>
      <c r="K4" s="59"/>
      <c r="L4" s="30"/>
      <c r="M4" s="30"/>
      <c r="N4" s="30"/>
      <c r="O4" s="35"/>
      <c r="P4" s="38"/>
      <c r="Q4" s="35"/>
      <c r="R4" s="35"/>
      <c r="S4" s="35"/>
      <c r="T4" s="35"/>
      <c r="U4" s="35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pans="1:40" ht="15.75" x14ac:dyDescent="0.25">
      <c r="A5" s="1"/>
      <c r="B5" s="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5"/>
      <c r="P5" s="35"/>
      <c r="Q5" s="35"/>
      <c r="R5" s="35"/>
      <c r="S5" s="35"/>
      <c r="T5" s="35"/>
      <c r="U5" s="35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</row>
    <row r="6" spans="1:40" ht="15.7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36"/>
      <c r="N6" s="31"/>
      <c r="O6" s="35"/>
      <c r="P6" s="35"/>
      <c r="Q6" s="35"/>
      <c r="R6" s="35"/>
      <c r="S6" s="35"/>
      <c r="T6" s="35"/>
      <c r="U6" s="35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40" ht="15" customHeight="1" x14ac:dyDescent="0.25">
      <c r="A7" s="72" t="s">
        <v>39</v>
      </c>
      <c r="B7" s="72"/>
      <c r="C7" s="72"/>
      <c r="D7" s="32"/>
      <c r="E7" s="67" t="s">
        <v>40</v>
      </c>
      <c r="F7" s="68"/>
      <c r="G7" s="69"/>
      <c r="H7" s="1"/>
      <c r="I7" s="61" t="s">
        <v>42</v>
      </c>
      <c r="J7" s="62"/>
      <c r="K7" s="65" t="s">
        <v>43</v>
      </c>
      <c r="L7" s="57" t="s">
        <v>44</v>
      </c>
      <c r="M7" s="1"/>
      <c r="N7" s="37" t="s">
        <v>52</v>
      </c>
      <c r="O7" s="28"/>
      <c r="P7" s="35"/>
      <c r="Q7" s="35"/>
      <c r="R7" s="35"/>
      <c r="S7" s="35"/>
      <c r="T7" s="39"/>
      <c r="U7" s="35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40" ht="15.75" customHeight="1" x14ac:dyDescent="0.25">
      <c r="A8" s="60" t="s">
        <v>37</v>
      </c>
      <c r="B8" s="54" t="s">
        <v>92</v>
      </c>
      <c r="C8" s="54"/>
      <c r="D8" s="1"/>
      <c r="E8" s="70" t="s">
        <v>49</v>
      </c>
      <c r="F8" s="71"/>
      <c r="G8" s="17">
        <v>6</v>
      </c>
      <c r="H8" s="1"/>
      <c r="I8" s="63"/>
      <c r="J8" s="64"/>
      <c r="K8" s="66"/>
      <c r="L8" s="58"/>
      <c r="M8" s="1"/>
      <c r="N8" s="37" t="s">
        <v>53</v>
      </c>
      <c r="O8" s="26"/>
      <c r="P8" s="35"/>
      <c r="Q8" s="35"/>
      <c r="R8" s="35"/>
      <c r="S8" s="35"/>
      <c r="T8" s="35"/>
      <c r="U8" s="35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40" ht="16.5" x14ac:dyDescent="0.35">
      <c r="A9" s="60"/>
      <c r="B9" s="54"/>
      <c r="C9" s="54"/>
      <c r="D9" s="1"/>
      <c r="E9" s="70" t="s">
        <v>50</v>
      </c>
      <c r="F9" s="71"/>
      <c r="G9" s="18">
        <v>0.25</v>
      </c>
      <c r="H9" s="1"/>
      <c r="I9" s="9" t="s">
        <v>45</v>
      </c>
      <c r="J9" s="19" t="s">
        <v>64</v>
      </c>
      <c r="K9" s="11" t="s">
        <v>67</v>
      </c>
      <c r="L9" s="25">
        <v>10</v>
      </c>
      <c r="M9" s="1"/>
      <c r="N9" s="37" t="s">
        <v>68</v>
      </c>
      <c r="O9" s="48"/>
      <c r="P9" s="35"/>
      <c r="Q9" s="35"/>
      <c r="R9" s="35"/>
      <c r="S9" s="35"/>
      <c r="T9" s="35"/>
      <c r="U9" s="35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40" x14ac:dyDescent="0.25">
      <c r="A10" s="60" t="s">
        <v>38</v>
      </c>
      <c r="B10" s="105">
        <v>0.113065</v>
      </c>
      <c r="C10" s="105"/>
      <c r="D10" s="1"/>
      <c r="E10" s="70" t="s">
        <v>41</v>
      </c>
      <c r="F10" s="71"/>
      <c r="G10" s="17">
        <v>15</v>
      </c>
      <c r="H10" s="1"/>
      <c r="I10" s="9" t="s">
        <v>46</v>
      </c>
      <c r="J10" s="13" t="s">
        <v>64</v>
      </c>
      <c r="K10" s="11" t="s">
        <v>67</v>
      </c>
      <c r="L10" s="25">
        <v>1500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40" x14ac:dyDescent="0.25">
      <c r="A11" s="60"/>
      <c r="B11" s="105"/>
      <c r="C11" s="105"/>
      <c r="D11" s="1"/>
      <c r="E11" s="33"/>
      <c r="F11" s="1"/>
      <c r="G11" s="1"/>
      <c r="H11" s="1"/>
      <c r="I11" s="9" t="s">
        <v>47</v>
      </c>
      <c r="J11" s="13" t="s">
        <v>65</v>
      </c>
      <c r="K11" s="12"/>
      <c r="L11" s="25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40" x14ac:dyDescent="0.25">
      <c r="A12" s="1"/>
      <c r="B12" s="1"/>
      <c r="C12" s="1"/>
      <c r="D12" s="1"/>
      <c r="E12" s="1"/>
      <c r="F12" s="1"/>
      <c r="G12" s="1"/>
      <c r="H12" s="1"/>
      <c r="I12" s="10" t="s">
        <v>48</v>
      </c>
      <c r="J12" s="13" t="s">
        <v>65</v>
      </c>
      <c r="K12" s="11"/>
      <c r="L12" s="25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4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40" x14ac:dyDescent="0.25">
      <c r="A14" s="24" t="str">
        <f>IF(C17="","NO","SI")</f>
        <v>SI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40" ht="45" x14ac:dyDescent="0.25">
      <c r="A15" s="14" t="s">
        <v>51</v>
      </c>
      <c r="B15" s="15" t="s">
        <v>20</v>
      </c>
      <c r="C15" s="14" t="s">
        <v>99</v>
      </c>
      <c r="D15" s="16" t="s">
        <v>63</v>
      </c>
      <c r="E15" s="16" t="s">
        <v>21</v>
      </c>
      <c r="F15" s="16" t="s">
        <v>22</v>
      </c>
      <c r="G15" s="16" t="s">
        <v>23</v>
      </c>
      <c r="H15" s="16" t="s">
        <v>24</v>
      </c>
      <c r="I15" s="16" t="s">
        <v>25</v>
      </c>
      <c r="J15" s="16" t="s">
        <v>26</v>
      </c>
      <c r="K15" s="16" t="s">
        <v>27</v>
      </c>
      <c r="L15" s="16" t="s">
        <v>28</v>
      </c>
      <c r="M15" s="16" t="s">
        <v>29</v>
      </c>
      <c r="N15" s="16" t="s">
        <v>30</v>
      </c>
      <c r="O15" s="16" t="s">
        <v>31</v>
      </c>
      <c r="P15" s="16" t="s">
        <v>33</v>
      </c>
      <c r="Q15" s="16" t="s">
        <v>35</v>
      </c>
      <c r="R15" s="16" t="s">
        <v>32</v>
      </c>
      <c r="S15" s="16" t="s">
        <v>34</v>
      </c>
      <c r="T15" s="23" t="s">
        <v>61</v>
      </c>
      <c r="U15" s="23" t="s">
        <v>66</v>
      </c>
      <c r="V15" s="23" t="s">
        <v>36</v>
      </c>
      <c r="W15" s="40"/>
      <c r="X15" s="41"/>
      <c r="Y15" s="41"/>
      <c r="Z15" s="41"/>
      <c r="AA15" s="41"/>
      <c r="AB15" s="41"/>
      <c r="AC15" s="41"/>
      <c r="AD15" s="41"/>
      <c r="AE15" s="41"/>
      <c r="AF15" s="35"/>
      <c r="AG15" s="1"/>
      <c r="AH15" s="1"/>
      <c r="AI15" s="1"/>
      <c r="AJ15" s="1"/>
      <c r="AK15" s="1"/>
      <c r="AL15" s="1"/>
      <c r="AM15" s="1"/>
      <c r="AN15" s="1"/>
    </row>
    <row r="16" spans="1:40" x14ac:dyDescent="0.25">
      <c r="A16" s="1"/>
      <c r="B16" s="1"/>
      <c r="C16" s="1"/>
      <c r="D16" s="1"/>
      <c r="E16" s="1"/>
      <c r="F16" s="34"/>
      <c r="G16" s="34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1"/>
      <c r="AH16" s="1"/>
      <c r="AI16" s="1"/>
      <c r="AJ16" s="1"/>
      <c r="AK16" s="1"/>
      <c r="AL16" s="1"/>
      <c r="AM16" s="1"/>
      <c r="AN16" s="1"/>
    </row>
    <row r="17" spans="1:40" ht="16.5" x14ac:dyDescent="0.35">
      <c r="A17" s="80"/>
      <c r="B17" s="81"/>
      <c r="C17" s="82">
        <v>500000</v>
      </c>
      <c r="D17" s="83" t="s">
        <v>19</v>
      </c>
      <c r="E17" s="90">
        <f>IF(C17 = "", 0, PUNTUALIDAD(C17,$K$9,$L$9))</f>
        <v>10</v>
      </c>
      <c r="F17" s="90">
        <f>IF(C17="",0,ASISTENCIA(C17,$K$10,$L$10))</f>
        <v>1500</v>
      </c>
      <c r="G17" s="90">
        <f>IF(C17="",0,VALES(C17,$K$12,$L$12))</f>
        <v>0</v>
      </c>
      <c r="H17" s="90">
        <f>IF(C17 = "", 0, AHORRO(C17,$K$11,$L$11))</f>
        <v>0</v>
      </c>
      <c r="I17" s="99"/>
      <c r="J17" s="100"/>
      <c r="K17" s="100"/>
      <c r="L17" s="100"/>
      <c r="M17" s="101"/>
      <c r="N17" s="85">
        <f>DOBLES(M17,D17,C17)</f>
        <v>0</v>
      </c>
      <c r="O17" s="86">
        <f>TRIPLES(M17,D17,C17)</f>
        <v>0</v>
      </c>
      <c r="P17" s="87"/>
      <c r="Q17" s="88">
        <f>PRIMA_DOMINICAL(C17,P17)</f>
        <v>0</v>
      </c>
      <c r="R17" s="89"/>
      <c r="S17" s="90">
        <f>DIAS_FESTIVOS(C17,R17)</f>
        <v>0</v>
      </c>
      <c r="T17" s="84"/>
      <c r="U17" s="84"/>
      <c r="V17" s="90">
        <f>IF(C17 = "", 0,NETO(C17,E17,F17,G17,H17,I17,J17,K17,L17,N17,O17,Q17,S17,W17))</f>
        <v>338328.85700000002</v>
      </c>
      <c r="W17" s="49">
        <f>IFERROR(IF(D17="MENSUAL",ISR(C17,isr_mensual,subsidio_mensual),IF(D17="QUINCENAL",ISR(C17,isr_quincenal,subsidio_qunicenal),IF(D17 = "SEMANAL",ISR(C17,isr_semanal,subsidio_semanal),ISR(C17,isr_catorcenal,subsidio_catorcenal)))),0)</f>
        <v>163181.14299999998</v>
      </c>
      <c r="X17" s="42"/>
      <c r="Y17" s="42"/>
      <c r="Z17" s="42"/>
      <c r="AA17" s="42"/>
      <c r="AB17" s="43"/>
      <c r="AC17" s="42"/>
      <c r="AD17" s="42"/>
      <c r="AE17" s="44"/>
      <c r="AF17" s="45"/>
      <c r="AG17" s="1"/>
      <c r="AH17" s="1"/>
      <c r="AI17" s="1"/>
      <c r="AJ17" s="1"/>
      <c r="AK17" s="1"/>
      <c r="AL17" s="1"/>
      <c r="AM17" s="1"/>
      <c r="AN17" s="1"/>
    </row>
    <row r="18" spans="1:40" ht="16.5" x14ac:dyDescent="0.35">
      <c r="A18" s="80"/>
      <c r="B18" s="81"/>
      <c r="C18" s="82">
        <v>10000</v>
      </c>
      <c r="D18" s="83" t="s">
        <v>19</v>
      </c>
      <c r="E18" s="90">
        <f t="shared" ref="E18:E50" si="0">IF(C18 = "", 0, PUNTUALIDAD(C18,$K$9,$L$9))</f>
        <v>10</v>
      </c>
      <c r="F18" s="90">
        <f t="shared" ref="F18:F50" si="1">IF(C18="",0,ASISTENCIA(C18,$K$10,$L$10))</f>
        <v>1500</v>
      </c>
      <c r="G18" s="90">
        <f t="shared" ref="G18:G50" si="2">IF(C18="",0,VALES(C18,$K$12,$L$12))</f>
        <v>0</v>
      </c>
      <c r="H18" s="90">
        <f t="shared" ref="H18:H50" si="3">IF(C18 = "", 0, AHORRO(C18,$K$11,$L$11))</f>
        <v>0</v>
      </c>
      <c r="I18" s="99"/>
      <c r="J18" s="100"/>
      <c r="K18" s="100"/>
      <c r="L18" s="100"/>
      <c r="M18" s="101"/>
      <c r="N18" s="85">
        <f t="shared" ref="N18:N50" si="4">DOBLES(M18,D18,C18)</f>
        <v>0</v>
      </c>
      <c r="O18" s="86">
        <f t="shared" ref="O18:O50" si="5">TRIPLES(M18,D18,C18)</f>
        <v>0</v>
      </c>
      <c r="P18" s="89"/>
      <c r="Q18" s="88">
        <f t="shared" ref="Q18:Q50" si="6">PRIMA_DOMINICAL(C18,P18)</f>
        <v>0</v>
      </c>
      <c r="R18" s="91"/>
      <c r="S18" s="90">
        <f t="shared" ref="S18:S50" si="7">DIAS_FESTIVOS(C18,R18)</f>
        <v>0</v>
      </c>
      <c r="T18" s="84"/>
      <c r="U18" s="84"/>
      <c r="V18" s="90">
        <f t="shared" ref="V18:V50" si="8">IF(C18 = "", 0,NETO(C18,E18,F18,G18,H18,I18,J18,K18,L18,N18,O18,Q18,S18,W18))</f>
        <v>10676.2472</v>
      </c>
      <c r="W18" s="49">
        <f>IFERROR(IF(D18="MENSUAL",ISR(C18,isr_mensual,subsidio_mensual),IF(D18="QUINCENAL",ISR(C18,isr_quincenal,subsidio_qunicenal),IF(D18 = "SEMANAL",ISR(C18,isr_semanal,subsidio_semanal),ISR(C18,isr_catorcenal,subsidio_catorcenal)))),0)</f>
        <v>833.75279999999998</v>
      </c>
      <c r="X18" s="42"/>
      <c r="Y18" s="42"/>
      <c r="Z18" s="42"/>
      <c r="AA18" s="42"/>
      <c r="AB18" s="43"/>
      <c r="AC18" s="42"/>
      <c r="AD18" s="42">
        <f>ISR(C18,isr_mensual,subsidio_mensual)</f>
        <v>833.75279999999998</v>
      </c>
      <c r="AE18" s="44"/>
      <c r="AF18" s="45"/>
      <c r="AG18" s="1"/>
      <c r="AH18" s="1"/>
      <c r="AI18" s="1"/>
      <c r="AJ18" s="1"/>
      <c r="AK18" s="1"/>
      <c r="AL18" s="1"/>
      <c r="AM18" s="1"/>
      <c r="AN18" s="1"/>
    </row>
    <row r="19" spans="1:40" ht="16.5" x14ac:dyDescent="0.35">
      <c r="A19" s="80"/>
      <c r="B19" s="81"/>
      <c r="C19" s="82">
        <v>50000</v>
      </c>
      <c r="D19" s="83" t="s">
        <v>59</v>
      </c>
      <c r="E19" s="90">
        <f t="shared" si="0"/>
        <v>10</v>
      </c>
      <c r="F19" s="90">
        <f t="shared" si="1"/>
        <v>1500</v>
      </c>
      <c r="G19" s="90">
        <f t="shared" si="2"/>
        <v>0</v>
      </c>
      <c r="H19" s="90">
        <f t="shared" si="3"/>
        <v>0</v>
      </c>
      <c r="I19" s="102"/>
      <c r="J19" s="100"/>
      <c r="K19" s="100"/>
      <c r="L19" s="100"/>
      <c r="M19" s="101"/>
      <c r="N19" s="85">
        <f t="shared" si="4"/>
        <v>0</v>
      </c>
      <c r="O19" s="86">
        <f t="shared" si="5"/>
        <v>0</v>
      </c>
      <c r="P19" s="89"/>
      <c r="Q19" s="88">
        <f t="shared" si="6"/>
        <v>0</v>
      </c>
      <c r="R19" s="91"/>
      <c r="S19" s="90">
        <f t="shared" si="7"/>
        <v>0</v>
      </c>
      <c r="T19" s="84"/>
      <c r="U19" s="84"/>
      <c r="V19" s="90">
        <f t="shared" si="8"/>
        <v>38670.269200000002</v>
      </c>
      <c r="W19" s="49">
        <f>IFERROR(IF(D19="MENSUAL",ISR(C19,isr_mensual,subsidio_mensual),IF(D19="QUINCENAL",ISR(C19,isr_quincenal,subsidio_qunicenal),IF(D19 = "SEMANAL",ISR(C19,isr_semanal,subsidio_semanal),ISR(C19,isr_catorcenal,subsidio_catorcenal)))),0)</f>
        <v>12839.730799999999</v>
      </c>
      <c r="X19" s="42"/>
      <c r="Y19" s="42"/>
      <c r="Z19" s="42"/>
      <c r="AA19" s="42"/>
      <c r="AB19" s="43"/>
      <c r="AC19" s="42"/>
      <c r="AD19" s="42">
        <f>ISR(C17,isr_mensual,subsidio_mensual)</f>
        <v>163181.14299999998</v>
      </c>
      <c r="AE19" s="46"/>
      <c r="AF19" s="45"/>
      <c r="AG19" s="1"/>
      <c r="AH19" s="1"/>
      <c r="AI19" s="1"/>
      <c r="AJ19" s="1"/>
      <c r="AK19" s="1"/>
      <c r="AL19" s="1"/>
      <c r="AM19" s="1"/>
      <c r="AN19" s="1"/>
    </row>
    <row r="20" spans="1:40" ht="16.5" x14ac:dyDescent="0.35">
      <c r="A20" s="92"/>
      <c r="B20" s="92"/>
      <c r="C20" s="98">
        <v>70000</v>
      </c>
      <c r="D20" s="93" t="s">
        <v>59</v>
      </c>
      <c r="E20" s="90">
        <f t="shared" si="0"/>
        <v>10</v>
      </c>
      <c r="F20" s="90">
        <f t="shared" si="1"/>
        <v>1500</v>
      </c>
      <c r="G20" s="90">
        <f t="shared" si="2"/>
        <v>0</v>
      </c>
      <c r="H20" s="90">
        <f t="shared" si="3"/>
        <v>0</v>
      </c>
      <c r="I20" s="103"/>
      <c r="J20" s="103"/>
      <c r="K20" s="103"/>
      <c r="L20" s="103"/>
      <c r="M20" s="104"/>
      <c r="N20" s="85">
        <f t="shared" si="4"/>
        <v>0</v>
      </c>
      <c r="O20" s="86">
        <f t="shared" si="5"/>
        <v>0</v>
      </c>
      <c r="P20" s="94"/>
      <c r="Q20" s="88">
        <f t="shared" si="6"/>
        <v>0</v>
      </c>
      <c r="R20" s="95"/>
      <c r="S20" s="90">
        <f t="shared" si="7"/>
        <v>0</v>
      </c>
      <c r="T20" s="96"/>
      <c r="U20" s="96"/>
      <c r="V20" s="90">
        <f t="shared" si="8"/>
        <v>51938.893400000001</v>
      </c>
      <c r="W20" s="49">
        <f>IFERROR(IF(D20="MENSUAL",ISR(C20,isr_mensual,subsidio_mensual),IF(D20="QUINCENAL",ISR(C20,isr_quincenal,subsidio_qunicenal),IF(D20 = "SEMANAL",ISR(C20,isr_semanal,subsidio_semanal),ISR(C20,isr_catorcenal,subsidio_catorcenal)))),0)</f>
        <v>19571.106599999999</v>
      </c>
      <c r="X20" s="35"/>
      <c r="Y20" s="35"/>
      <c r="Z20" s="35"/>
      <c r="AA20" s="35"/>
      <c r="AB20" s="35"/>
      <c r="AC20" s="35"/>
      <c r="AD20" s="35"/>
      <c r="AE20" s="35"/>
      <c r="AF20" s="35"/>
      <c r="AG20" s="1"/>
      <c r="AH20" s="1"/>
      <c r="AI20" s="1"/>
      <c r="AJ20" s="1"/>
      <c r="AK20" s="1"/>
      <c r="AL20" s="1"/>
      <c r="AM20" s="1"/>
      <c r="AN20" s="1"/>
    </row>
    <row r="21" spans="1:40" ht="16.5" x14ac:dyDescent="0.35">
      <c r="A21" s="92"/>
      <c r="B21" s="92"/>
      <c r="C21" s="98"/>
      <c r="D21" s="93"/>
      <c r="E21" s="90">
        <f t="shared" si="0"/>
        <v>0</v>
      </c>
      <c r="F21" s="90">
        <f t="shared" si="1"/>
        <v>0</v>
      </c>
      <c r="G21" s="90">
        <f t="shared" si="2"/>
        <v>0</v>
      </c>
      <c r="H21" s="90">
        <f t="shared" si="3"/>
        <v>0</v>
      </c>
      <c r="I21" s="103"/>
      <c r="J21" s="103"/>
      <c r="K21" s="103"/>
      <c r="L21" s="103"/>
      <c r="M21" s="104"/>
      <c r="N21" s="85">
        <f t="shared" si="4"/>
        <v>0</v>
      </c>
      <c r="O21" s="86">
        <f t="shared" si="5"/>
        <v>0</v>
      </c>
      <c r="P21" s="94"/>
      <c r="Q21" s="88">
        <f t="shared" si="6"/>
        <v>0</v>
      </c>
      <c r="R21" s="95"/>
      <c r="S21" s="90">
        <f t="shared" si="7"/>
        <v>0</v>
      </c>
      <c r="T21" s="96"/>
      <c r="U21" s="96"/>
      <c r="V21" s="90">
        <f t="shared" si="8"/>
        <v>0</v>
      </c>
      <c r="W21" s="49" t="str">
        <f>IFERROR(IF(D21="MENSUAL",ISR(C21,isr_mensual,subsidio_mensual),IF(D21="QUINCENAL",ISR(C21,isr_quincenal,subsidio_qunicenal),IF(D21 = "SEMANAL",ISR(C21,isr_semanal,subsidio_semanal),ISR(C21,isr_catorcenal,subsidio_catorcenal)))),0)</f>
        <v/>
      </c>
      <c r="X21" s="35"/>
      <c r="Y21" s="35"/>
      <c r="Z21" s="35"/>
      <c r="AA21" s="35"/>
      <c r="AB21" s="35"/>
      <c r="AC21" s="35"/>
      <c r="AD21" s="47"/>
      <c r="AE21" s="35"/>
      <c r="AF21" s="35"/>
      <c r="AG21" s="1"/>
      <c r="AH21" s="1"/>
      <c r="AI21" s="1"/>
      <c r="AJ21" s="1"/>
      <c r="AK21" s="1"/>
      <c r="AL21" s="1"/>
      <c r="AM21" s="1"/>
      <c r="AN21" s="1"/>
    </row>
    <row r="22" spans="1:40" ht="16.5" x14ac:dyDescent="0.35">
      <c r="A22" s="92"/>
      <c r="B22" s="92"/>
      <c r="C22" s="98"/>
      <c r="D22" s="93"/>
      <c r="E22" s="90">
        <f t="shared" si="0"/>
        <v>0</v>
      </c>
      <c r="F22" s="90">
        <f t="shared" si="1"/>
        <v>0</v>
      </c>
      <c r="G22" s="90">
        <f t="shared" si="2"/>
        <v>0</v>
      </c>
      <c r="H22" s="90">
        <f t="shared" si="3"/>
        <v>0</v>
      </c>
      <c r="I22" s="103"/>
      <c r="J22" s="103"/>
      <c r="K22" s="103"/>
      <c r="L22" s="103"/>
      <c r="M22" s="104"/>
      <c r="N22" s="85">
        <f t="shared" si="4"/>
        <v>0</v>
      </c>
      <c r="O22" s="86">
        <f t="shared" si="5"/>
        <v>0</v>
      </c>
      <c r="P22" s="94"/>
      <c r="Q22" s="88">
        <f t="shared" si="6"/>
        <v>0</v>
      </c>
      <c r="R22" s="95"/>
      <c r="S22" s="90">
        <f t="shared" si="7"/>
        <v>0</v>
      </c>
      <c r="T22" s="96"/>
      <c r="U22" s="96"/>
      <c r="V22" s="90">
        <f t="shared" si="8"/>
        <v>0</v>
      </c>
      <c r="W22" s="49" t="str">
        <f>IFERROR(IF(D22="MENSUAL",ISR(C22,isr_mensual,subsidio_mensual),IF(D22="QUINCENAL",ISR(C22,isr_quincenal,subsidio_qunicenal),IF(D22 = "SEMANAL",ISR(C22,isr_semanal,subsidio_semanal),ISR(C22,isr_catorcenal,subsidio_catorcenal)))),0)</f>
        <v/>
      </c>
      <c r="X22" s="35"/>
      <c r="Y22" s="35"/>
      <c r="Z22" s="35"/>
      <c r="AA22" s="35"/>
      <c r="AB22" s="35"/>
      <c r="AC22" s="35"/>
      <c r="AD22" s="35"/>
      <c r="AE22" s="35"/>
      <c r="AF22" s="35"/>
      <c r="AG22" s="1"/>
      <c r="AH22" s="1"/>
      <c r="AI22" s="1"/>
      <c r="AJ22" s="1"/>
      <c r="AK22" s="1"/>
      <c r="AL22" s="1"/>
      <c r="AM22" s="1"/>
      <c r="AN22" s="1"/>
    </row>
    <row r="23" spans="1:40" ht="16.5" x14ac:dyDescent="0.35">
      <c r="A23" s="92"/>
      <c r="B23" s="92"/>
      <c r="C23" s="98"/>
      <c r="D23" s="93"/>
      <c r="E23" s="90">
        <f t="shared" si="0"/>
        <v>0</v>
      </c>
      <c r="F23" s="90">
        <f t="shared" si="1"/>
        <v>0</v>
      </c>
      <c r="G23" s="90">
        <f t="shared" si="2"/>
        <v>0</v>
      </c>
      <c r="H23" s="90">
        <f t="shared" si="3"/>
        <v>0</v>
      </c>
      <c r="I23" s="103"/>
      <c r="J23" s="103"/>
      <c r="K23" s="103"/>
      <c r="L23" s="103"/>
      <c r="M23" s="104"/>
      <c r="N23" s="85">
        <f t="shared" si="4"/>
        <v>0</v>
      </c>
      <c r="O23" s="86">
        <f t="shared" si="5"/>
        <v>0</v>
      </c>
      <c r="P23" s="94"/>
      <c r="Q23" s="88">
        <f t="shared" si="6"/>
        <v>0</v>
      </c>
      <c r="R23" s="95"/>
      <c r="S23" s="90">
        <f t="shared" si="7"/>
        <v>0</v>
      </c>
      <c r="T23" s="96"/>
      <c r="U23" s="96"/>
      <c r="V23" s="90">
        <f t="shared" si="8"/>
        <v>0</v>
      </c>
      <c r="W23" s="49" t="str">
        <f>IFERROR(IF(D23="MENSUAL",ISR(C23,isr_mensual,subsidio_mensual),IF(D23="QUINCENAL",ISR(C23,isr_quincenal,subsidio_qunicenal),IF(D23 = "SEMANAL",ISR(C23,isr_semanal,subsidio_semanal),ISR(C23,isr_catorcenal,subsidio_catorcenal)))),0)</f>
        <v/>
      </c>
      <c r="X23" s="35"/>
      <c r="Y23" s="35"/>
      <c r="Z23" s="35"/>
      <c r="AA23" s="35"/>
      <c r="AB23" s="35"/>
      <c r="AC23" s="35"/>
      <c r="AD23" s="35"/>
      <c r="AE23" s="35"/>
      <c r="AF23" s="35"/>
      <c r="AG23" s="1"/>
      <c r="AH23" s="1"/>
      <c r="AI23" s="1"/>
      <c r="AJ23" s="1"/>
      <c r="AK23" s="1"/>
      <c r="AL23" s="1"/>
      <c r="AM23" s="1"/>
      <c r="AN23" s="1"/>
    </row>
    <row r="24" spans="1:40" ht="16.5" x14ac:dyDescent="0.35">
      <c r="A24" s="92"/>
      <c r="B24" s="92"/>
      <c r="C24" s="98"/>
      <c r="D24" s="93"/>
      <c r="E24" s="90">
        <f t="shared" si="0"/>
        <v>0</v>
      </c>
      <c r="F24" s="90">
        <f t="shared" si="1"/>
        <v>0</v>
      </c>
      <c r="G24" s="90">
        <f t="shared" si="2"/>
        <v>0</v>
      </c>
      <c r="H24" s="90">
        <f t="shared" si="3"/>
        <v>0</v>
      </c>
      <c r="I24" s="103"/>
      <c r="J24" s="103"/>
      <c r="K24" s="103"/>
      <c r="L24" s="103"/>
      <c r="M24" s="104"/>
      <c r="N24" s="85">
        <f t="shared" si="4"/>
        <v>0</v>
      </c>
      <c r="O24" s="86">
        <f t="shared" si="5"/>
        <v>0</v>
      </c>
      <c r="P24" s="94"/>
      <c r="Q24" s="88">
        <f t="shared" si="6"/>
        <v>0</v>
      </c>
      <c r="R24" s="95"/>
      <c r="S24" s="90">
        <f t="shared" si="7"/>
        <v>0</v>
      </c>
      <c r="T24" s="96"/>
      <c r="U24" s="96"/>
      <c r="V24" s="90">
        <f t="shared" si="8"/>
        <v>0</v>
      </c>
      <c r="W24" s="49" t="str">
        <f>IFERROR(IF(D24="MENSUAL",ISR(C24,isr_mensual,subsidio_mensual),IF(D24="QUINCENAL",ISR(C24,isr_quincenal,subsidio_qunicenal),IF(D24 = "SEMANAL",ISR(C24,isr_semanal,subsidio_semanal),ISR(C24,isr_catorcenal,subsidio_catorcenal)))),0)</f>
        <v/>
      </c>
      <c r="X24" s="35"/>
      <c r="Y24" s="35"/>
      <c r="Z24" s="35"/>
      <c r="AA24" s="35"/>
      <c r="AB24" s="35"/>
      <c r="AC24" s="35"/>
      <c r="AD24" s="35"/>
      <c r="AE24" s="35"/>
      <c r="AF24" s="35"/>
      <c r="AG24" s="1"/>
      <c r="AH24" s="1"/>
      <c r="AI24" s="1"/>
      <c r="AJ24" s="1"/>
      <c r="AK24" s="1"/>
      <c r="AL24" s="1"/>
      <c r="AM24" s="1"/>
      <c r="AN24" s="1"/>
    </row>
    <row r="25" spans="1:40" ht="16.5" x14ac:dyDescent="0.35">
      <c r="A25" s="92"/>
      <c r="B25" s="92"/>
      <c r="C25" s="98"/>
      <c r="D25" s="93"/>
      <c r="E25" s="90">
        <f t="shared" si="0"/>
        <v>0</v>
      </c>
      <c r="F25" s="90">
        <f t="shared" si="1"/>
        <v>0</v>
      </c>
      <c r="G25" s="90">
        <f t="shared" si="2"/>
        <v>0</v>
      </c>
      <c r="H25" s="90">
        <f t="shared" si="3"/>
        <v>0</v>
      </c>
      <c r="I25" s="103"/>
      <c r="J25" s="103"/>
      <c r="K25" s="103"/>
      <c r="L25" s="103"/>
      <c r="M25" s="104"/>
      <c r="N25" s="85">
        <f t="shared" si="4"/>
        <v>0</v>
      </c>
      <c r="O25" s="86">
        <f t="shared" si="5"/>
        <v>0</v>
      </c>
      <c r="P25" s="94"/>
      <c r="Q25" s="88">
        <f t="shared" si="6"/>
        <v>0</v>
      </c>
      <c r="R25" s="95"/>
      <c r="S25" s="90">
        <f t="shared" si="7"/>
        <v>0</v>
      </c>
      <c r="T25" s="96"/>
      <c r="U25" s="96"/>
      <c r="V25" s="90">
        <f t="shared" si="8"/>
        <v>0</v>
      </c>
      <c r="W25" s="49" t="str">
        <f>IFERROR(IF(D25="MENSUAL",ISR(C25,isr_mensual,subsidio_mensual),IF(D25="QUINCENAL",ISR(C25,isr_quincenal,subsidio_qunicenal),IF(D25 = "SEMANAL",ISR(C25,isr_semanal,subsidio_semanal),ISR(C25,isr_catorcenal,subsidio_catorcenal)))),0)</f>
        <v/>
      </c>
      <c r="X25" s="35"/>
      <c r="Y25" s="35"/>
      <c r="Z25" s="35"/>
      <c r="AA25" s="35"/>
      <c r="AB25" s="35"/>
      <c r="AC25" s="35"/>
      <c r="AD25" s="35"/>
      <c r="AE25" s="35"/>
      <c r="AF25" s="35"/>
      <c r="AG25" s="1"/>
      <c r="AH25" s="1"/>
      <c r="AI25" s="1"/>
      <c r="AJ25" s="1"/>
      <c r="AK25" s="1"/>
      <c r="AL25" s="1"/>
      <c r="AM25" s="1"/>
      <c r="AN25" s="1"/>
    </row>
    <row r="26" spans="1:40" ht="16.5" x14ac:dyDescent="0.35">
      <c r="A26" s="92"/>
      <c r="B26" s="92"/>
      <c r="C26" s="98"/>
      <c r="D26" s="93"/>
      <c r="E26" s="90">
        <f t="shared" si="0"/>
        <v>0</v>
      </c>
      <c r="F26" s="90">
        <f t="shared" si="1"/>
        <v>0</v>
      </c>
      <c r="G26" s="90">
        <f t="shared" si="2"/>
        <v>0</v>
      </c>
      <c r="H26" s="90">
        <f t="shared" si="3"/>
        <v>0</v>
      </c>
      <c r="I26" s="103"/>
      <c r="J26" s="103"/>
      <c r="K26" s="103"/>
      <c r="L26" s="103"/>
      <c r="M26" s="104"/>
      <c r="N26" s="85">
        <f t="shared" si="4"/>
        <v>0</v>
      </c>
      <c r="O26" s="86">
        <f t="shared" si="5"/>
        <v>0</v>
      </c>
      <c r="P26" s="94"/>
      <c r="Q26" s="88">
        <f t="shared" si="6"/>
        <v>0</v>
      </c>
      <c r="R26" s="95"/>
      <c r="S26" s="90">
        <f t="shared" si="7"/>
        <v>0</v>
      </c>
      <c r="T26" s="96"/>
      <c r="U26" s="96"/>
      <c r="V26" s="90">
        <f t="shared" si="8"/>
        <v>0</v>
      </c>
      <c r="W26" s="49" t="str">
        <f>IFERROR(IF(D26="MENSUAL",ISR(C26,isr_mensual,subsidio_mensual),IF(D26="QUINCENAL",ISR(C26,isr_quincenal,subsidio_qunicenal),IF(D26 = "SEMANAL",ISR(C26,isr_semanal,subsidio_semanal),ISR(C26,isr_catorcenal,subsidio_catorcenal)))),0)</f>
        <v/>
      </c>
      <c r="X26" s="35"/>
      <c r="Y26" s="35"/>
      <c r="Z26" s="35"/>
      <c r="AA26" s="35"/>
      <c r="AB26" s="35"/>
      <c r="AC26" s="35"/>
      <c r="AD26" s="35"/>
      <c r="AE26" s="35"/>
      <c r="AF26" s="35"/>
      <c r="AG26" s="1"/>
      <c r="AH26" s="1"/>
      <c r="AI26" s="1"/>
      <c r="AJ26" s="1"/>
      <c r="AK26" s="1"/>
      <c r="AL26" s="1"/>
      <c r="AM26" s="1"/>
      <c r="AN26" s="1"/>
    </row>
    <row r="27" spans="1:40" ht="16.5" x14ac:dyDescent="0.35">
      <c r="A27" s="92"/>
      <c r="B27" s="92"/>
      <c r="C27" s="98"/>
      <c r="D27" s="93"/>
      <c r="E27" s="90">
        <f t="shared" si="0"/>
        <v>0</v>
      </c>
      <c r="F27" s="90">
        <f t="shared" si="1"/>
        <v>0</v>
      </c>
      <c r="G27" s="90">
        <f t="shared" si="2"/>
        <v>0</v>
      </c>
      <c r="H27" s="90">
        <f t="shared" si="3"/>
        <v>0</v>
      </c>
      <c r="I27" s="103"/>
      <c r="J27" s="103"/>
      <c r="K27" s="103"/>
      <c r="L27" s="103"/>
      <c r="M27" s="104"/>
      <c r="N27" s="85">
        <f t="shared" si="4"/>
        <v>0</v>
      </c>
      <c r="O27" s="86">
        <f t="shared" si="5"/>
        <v>0</v>
      </c>
      <c r="P27" s="94"/>
      <c r="Q27" s="88">
        <f t="shared" si="6"/>
        <v>0</v>
      </c>
      <c r="R27" s="95"/>
      <c r="S27" s="90">
        <f t="shared" si="7"/>
        <v>0</v>
      </c>
      <c r="T27" s="96"/>
      <c r="U27" s="96"/>
      <c r="V27" s="90">
        <f t="shared" si="8"/>
        <v>0</v>
      </c>
      <c r="W27" s="49" t="str">
        <f>IFERROR(IF(D27="MENSUAL",ISR(C27,isr_mensual,subsidio_mensual),IF(D27="QUINCENAL",ISR(C27,isr_quincenal,subsidio_qunicenal),IF(D27 = "SEMANAL",ISR(C27,isr_semanal,subsidio_semanal),ISR(C27,isr_catorcenal,subsidio_catorcenal)))),0)</f>
        <v/>
      </c>
      <c r="X27" s="35"/>
      <c r="Y27" s="35"/>
      <c r="Z27" s="35"/>
      <c r="AA27" s="35"/>
      <c r="AB27" s="35"/>
      <c r="AC27" s="35"/>
      <c r="AD27" s="35"/>
      <c r="AE27" s="35"/>
      <c r="AF27" s="35"/>
      <c r="AG27" s="1"/>
      <c r="AH27" s="1"/>
      <c r="AI27" s="1"/>
      <c r="AJ27" s="1"/>
      <c r="AK27" s="1"/>
      <c r="AL27" s="1"/>
      <c r="AM27" s="1"/>
      <c r="AN27" s="1"/>
    </row>
    <row r="28" spans="1:40" ht="16.5" x14ac:dyDescent="0.35">
      <c r="A28" s="92"/>
      <c r="B28" s="92"/>
      <c r="C28" s="98"/>
      <c r="D28" s="93"/>
      <c r="E28" s="90">
        <f t="shared" si="0"/>
        <v>0</v>
      </c>
      <c r="F28" s="90">
        <f t="shared" si="1"/>
        <v>0</v>
      </c>
      <c r="G28" s="90">
        <f t="shared" si="2"/>
        <v>0</v>
      </c>
      <c r="H28" s="90">
        <f t="shared" si="3"/>
        <v>0</v>
      </c>
      <c r="I28" s="103"/>
      <c r="J28" s="103"/>
      <c r="K28" s="103"/>
      <c r="L28" s="103"/>
      <c r="M28" s="104"/>
      <c r="N28" s="85">
        <f t="shared" si="4"/>
        <v>0</v>
      </c>
      <c r="O28" s="86">
        <f t="shared" si="5"/>
        <v>0</v>
      </c>
      <c r="P28" s="94"/>
      <c r="Q28" s="88">
        <f t="shared" si="6"/>
        <v>0</v>
      </c>
      <c r="R28" s="95"/>
      <c r="S28" s="90">
        <f t="shared" si="7"/>
        <v>0</v>
      </c>
      <c r="T28" s="96"/>
      <c r="U28" s="96"/>
      <c r="V28" s="90">
        <f t="shared" si="8"/>
        <v>0</v>
      </c>
      <c r="W28" s="49" t="str">
        <f>IFERROR(IF(D28="MENSUAL",ISR(C28,isr_mensual,subsidio_mensual),IF(D28="QUINCENAL",ISR(C28,isr_quincenal,subsidio_qunicenal),IF(D28 = "SEMANAL",ISR(C28,isr_semanal,subsidio_semanal),ISR(C28,isr_catorcenal,subsidio_catorcenal)))),0)</f>
        <v/>
      </c>
      <c r="X28" s="35"/>
      <c r="Y28" s="35"/>
      <c r="Z28" s="35"/>
      <c r="AA28" s="35"/>
      <c r="AB28" s="35"/>
      <c r="AC28" s="35"/>
      <c r="AD28" s="35"/>
      <c r="AE28" s="35"/>
      <c r="AF28" s="35"/>
      <c r="AG28" s="1"/>
      <c r="AH28" s="1"/>
      <c r="AI28" s="1"/>
      <c r="AJ28" s="1"/>
      <c r="AK28" s="1"/>
      <c r="AL28" s="1"/>
      <c r="AM28" s="1"/>
      <c r="AN28" s="1"/>
    </row>
    <row r="29" spans="1:40" ht="16.5" x14ac:dyDescent="0.35">
      <c r="A29" s="92"/>
      <c r="B29" s="92"/>
      <c r="C29" s="98"/>
      <c r="D29" s="93"/>
      <c r="E29" s="90">
        <f t="shared" si="0"/>
        <v>0</v>
      </c>
      <c r="F29" s="90">
        <f t="shared" si="1"/>
        <v>0</v>
      </c>
      <c r="G29" s="90">
        <f t="shared" si="2"/>
        <v>0</v>
      </c>
      <c r="H29" s="90">
        <f t="shared" si="3"/>
        <v>0</v>
      </c>
      <c r="I29" s="103"/>
      <c r="J29" s="103"/>
      <c r="K29" s="103"/>
      <c r="L29" s="103"/>
      <c r="M29" s="104"/>
      <c r="N29" s="85">
        <f t="shared" si="4"/>
        <v>0</v>
      </c>
      <c r="O29" s="86">
        <f t="shared" si="5"/>
        <v>0</v>
      </c>
      <c r="P29" s="94"/>
      <c r="Q29" s="88">
        <f t="shared" si="6"/>
        <v>0</v>
      </c>
      <c r="R29" s="95"/>
      <c r="S29" s="90">
        <f t="shared" si="7"/>
        <v>0</v>
      </c>
      <c r="T29" s="96"/>
      <c r="U29" s="96"/>
      <c r="V29" s="90">
        <f t="shared" si="8"/>
        <v>0</v>
      </c>
      <c r="W29" s="49" t="str">
        <f>IFERROR(IF(D29="MENSUAL",ISR(C29,isr_mensual,subsidio_mensual),IF(D29="QUINCENAL",ISR(C29,isr_quincenal,subsidio_qunicenal),IF(D29 = "SEMANAL",ISR(C29,isr_semanal,subsidio_semanal),ISR(C29,isr_catorcenal,subsidio_catorcenal)))),0)</f>
        <v/>
      </c>
      <c r="X29" s="35"/>
      <c r="Y29" s="35"/>
      <c r="Z29" s="35"/>
      <c r="AA29" s="35"/>
      <c r="AB29" s="35"/>
      <c r="AC29" s="35"/>
      <c r="AD29" s="35"/>
      <c r="AE29" s="35"/>
      <c r="AF29" s="35"/>
      <c r="AG29" s="1"/>
      <c r="AH29" s="1"/>
      <c r="AI29" s="1"/>
      <c r="AJ29" s="1"/>
      <c r="AK29" s="1"/>
      <c r="AL29" s="1"/>
      <c r="AM29" s="1"/>
      <c r="AN29" s="1"/>
    </row>
    <row r="30" spans="1:40" ht="16.5" x14ac:dyDescent="0.35">
      <c r="A30" s="92"/>
      <c r="B30" s="92"/>
      <c r="C30" s="98"/>
      <c r="D30" s="93"/>
      <c r="E30" s="90">
        <f t="shared" si="0"/>
        <v>0</v>
      </c>
      <c r="F30" s="90">
        <f t="shared" si="1"/>
        <v>0</v>
      </c>
      <c r="G30" s="90">
        <f t="shared" si="2"/>
        <v>0</v>
      </c>
      <c r="H30" s="90">
        <f t="shared" si="3"/>
        <v>0</v>
      </c>
      <c r="I30" s="103"/>
      <c r="J30" s="103"/>
      <c r="K30" s="103"/>
      <c r="L30" s="103"/>
      <c r="M30" s="104"/>
      <c r="N30" s="85">
        <f t="shared" si="4"/>
        <v>0</v>
      </c>
      <c r="O30" s="86">
        <f t="shared" si="5"/>
        <v>0</v>
      </c>
      <c r="P30" s="94"/>
      <c r="Q30" s="88">
        <f t="shared" si="6"/>
        <v>0</v>
      </c>
      <c r="R30" s="95"/>
      <c r="S30" s="90">
        <f t="shared" si="7"/>
        <v>0</v>
      </c>
      <c r="T30" s="96"/>
      <c r="U30" s="96"/>
      <c r="V30" s="90">
        <f t="shared" si="8"/>
        <v>0</v>
      </c>
      <c r="W30" s="49" t="str">
        <f>IFERROR(IF(D30="MENSUAL",ISR(C30,isr_mensual,subsidio_mensual),IF(D30="QUINCENAL",ISR(C30,isr_quincenal,subsidio_qunicenal),IF(D30 = "SEMANAL",ISR(C30,isr_semanal,subsidio_semanal),ISR(C30,isr_catorcenal,subsidio_catorcenal)))),0)</f>
        <v/>
      </c>
      <c r="X30" s="35"/>
      <c r="Y30" s="35"/>
      <c r="Z30" s="35"/>
      <c r="AA30" s="35"/>
      <c r="AB30" s="35"/>
      <c r="AC30" s="35"/>
      <c r="AD30" s="35"/>
      <c r="AE30" s="35"/>
      <c r="AF30" s="35"/>
      <c r="AG30" s="1"/>
      <c r="AH30" s="1"/>
      <c r="AI30" s="1"/>
      <c r="AJ30" s="1"/>
      <c r="AK30" s="1"/>
      <c r="AL30" s="1"/>
      <c r="AM30" s="1"/>
      <c r="AN30" s="1"/>
    </row>
    <row r="31" spans="1:40" ht="16.5" x14ac:dyDescent="0.35">
      <c r="A31" s="92"/>
      <c r="B31" s="92"/>
      <c r="C31" s="98"/>
      <c r="D31" s="93"/>
      <c r="E31" s="90">
        <f t="shared" si="0"/>
        <v>0</v>
      </c>
      <c r="F31" s="90">
        <f t="shared" si="1"/>
        <v>0</v>
      </c>
      <c r="G31" s="90">
        <f t="shared" si="2"/>
        <v>0</v>
      </c>
      <c r="H31" s="90">
        <f t="shared" si="3"/>
        <v>0</v>
      </c>
      <c r="I31" s="103"/>
      <c r="J31" s="103"/>
      <c r="K31" s="103"/>
      <c r="L31" s="103"/>
      <c r="M31" s="104"/>
      <c r="N31" s="85">
        <f t="shared" si="4"/>
        <v>0</v>
      </c>
      <c r="O31" s="86">
        <f t="shared" si="5"/>
        <v>0</v>
      </c>
      <c r="P31" s="94"/>
      <c r="Q31" s="88">
        <f t="shared" si="6"/>
        <v>0</v>
      </c>
      <c r="R31" s="95"/>
      <c r="S31" s="90">
        <f t="shared" si="7"/>
        <v>0</v>
      </c>
      <c r="T31" s="96"/>
      <c r="U31" s="96"/>
      <c r="V31" s="90">
        <f t="shared" si="8"/>
        <v>0</v>
      </c>
      <c r="W31" s="49" t="str">
        <f>IFERROR(IF(D31="MENSUAL",ISR(C31,isr_mensual,subsidio_mensual),IF(D31="QUINCENAL",ISR(C31,isr_quincenal,subsidio_qunicenal),IF(D31 = "SEMANAL",ISR(C31,isr_semanal,subsidio_semanal),ISR(C31,isr_catorcenal,subsidio_catorcenal)))),0)</f>
        <v/>
      </c>
      <c r="X31" s="35"/>
      <c r="Y31" s="35"/>
      <c r="Z31" s="35"/>
      <c r="AA31" s="35"/>
      <c r="AB31" s="35"/>
      <c r="AC31" s="35"/>
      <c r="AD31" s="35"/>
      <c r="AE31" s="35"/>
      <c r="AF31" s="35"/>
      <c r="AG31" s="1"/>
      <c r="AH31" s="1"/>
      <c r="AI31" s="1"/>
      <c r="AJ31" s="1"/>
      <c r="AK31" s="1"/>
      <c r="AL31" s="1"/>
      <c r="AM31" s="1"/>
      <c r="AN31" s="1"/>
    </row>
    <row r="32" spans="1:40" ht="16.5" x14ac:dyDescent="0.35">
      <c r="A32" s="92"/>
      <c r="B32" s="92"/>
      <c r="C32" s="98"/>
      <c r="D32" s="93"/>
      <c r="E32" s="90">
        <f t="shared" si="0"/>
        <v>0</v>
      </c>
      <c r="F32" s="90">
        <f t="shared" si="1"/>
        <v>0</v>
      </c>
      <c r="G32" s="90">
        <f t="shared" si="2"/>
        <v>0</v>
      </c>
      <c r="H32" s="90">
        <f t="shared" si="3"/>
        <v>0</v>
      </c>
      <c r="I32" s="103"/>
      <c r="J32" s="103"/>
      <c r="K32" s="103"/>
      <c r="L32" s="103"/>
      <c r="M32" s="104"/>
      <c r="N32" s="85">
        <f t="shared" si="4"/>
        <v>0</v>
      </c>
      <c r="O32" s="86">
        <f t="shared" si="5"/>
        <v>0</v>
      </c>
      <c r="P32" s="94"/>
      <c r="Q32" s="88">
        <f t="shared" si="6"/>
        <v>0</v>
      </c>
      <c r="R32" s="95"/>
      <c r="S32" s="90">
        <f t="shared" si="7"/>
        <v>0</v>
      </c>
      <c r="T32" s="96"/>
      <c r="U32" s="96"/>
      <c r="V32" s="90">
        <f t="shared" si="8"/>
        <v>0</v>
      </c>
      <c r="W32" s="49" t="str">
        <f>IFERROR(IF(D32="MENSUAL",ISR(C32,isr_mensual,subsidio_mensual),IF(D32="QUINCENAL",ISR(C32,isr_quincenal,subsidio_qunicenal),IF(D32 = "SEMANAL",ISR(C32,isr_semanal,subsidio_semanal),ISR(C32,isr_catorcenal,subsidio_catorcenal)))),0)</f>
        <v/>
      </c>
      <c r="X32" s="35"/>
      <c r="Y32" s="35"/>
      <c r="Z32" s="35"/>
      <c r="AA32" s="35"/>
      <c r="AB32" s="35"/>
      <c r="AC32" s="35"/>
      <c r="AD32" s="35"/>
      <c r="AE32" s="35"/>
      <c r="AF32" s="35"/>
      <c r="AG32" s="1"/>
      <c r="AH32" s="1"/>
      <c r="AI32" s="1"/>
      <c r="AJ32" s="1"/>
      <c r="AK32" s="1"/>
      <c r="AL32" s="1"/>
      <c r="AM32" s="1"/>
      <c r="AN32" s="1"/>
    </row>
    <row r="33" spans="1:40" ht="16.5" x14ac:dyDescent="0.35">
      <c r="A33" s="92"/>
      <c r="B33" s="92"/>
      <c r="C33" s="98"/>
      <c r="D33" s="93"/>
      <c r="E33" s="90">
        <f t="shared" si="0"/>
        <v>0</v>
      </c>
      <c r="F33" s="90">
        <f t="shared" si="1"/>
        <v>0</v>
      </c>
      <c r="G33" s="90">
        <f t="shared" si="2"/>
        <v>0</v>
      </c>
      <c r="H33" s="90">
        <f t="shared" si="3"/>
        <v>0</v>
      </c>
      <c r="I33" s="103"/>
      <c r="J33" s="103"/>
      <c r="K33" s="103"/>
      <c r="L33" s="103"/>
      <c r="M33" s="104"/>
      <c r="N33" s="85">
        <f t="shared" si="4"/>
        <v>0</v>
      </c>
      <c r="O33" s="86">
        <f t="shared" si="5"/>
        <v>0</v>
      </c>
      <c r="P33" s="94"/>
      <c r="Q33" s="88">
        <f t="shared" si="6"/>
        <v>0</v>
      </c>
      <c r="R33" s="95"/>
      <c r="S33" s="90">
        <f t="shared" si="7"/>
        <v>0</v>
      </c>
      <c r="T33" s="96"/>
      <c r="U33" s="96"/>
      <c r="V33" s="90">
        <f t="shared" si="8"/>
        <v>0</v>
      </c>
      <c r="W33" s="79" t="str">
        <f>IFERROR(IF(D33="MENSUAL",ISR(C33,isr_mensual,subsidio_mensual),IF(D33="QUINCENAL",ISR(C33,isr_quincenal,subsidio_qunicenal),IF(D33 = "SEMANAL",ISR(C33,isr_semanal,subsidio_semanal),ISR(C33,isr_catorcenal,subsidio_catorcenal)))),0)</f>
        <v/>
      </c>
      <c r="X33" s="35"/>
      <c r="Y33" s="35"/>
      <c r="Z33" s="35"/>
      <c r="AA33" s="35"/>
      <c r="AB33" s="35"/>
      <c r="AC33" s="35"/>
      <c r="AD33" s="35"/>
      <c r="AE33" s="35"/>
      <c r="AF33" s="35"/>
      <c r="AG33" s="1"/>
      <c r="AH33" s="1"/>
      <c r="AI33" s="1"/>
      <c r="AJ33" s="1"/>
      <c r="AK33" s="1"/>
      <c r="AL33" s="1"/>
      <c r="AM33" s="1"/>
      <c r="AN33" s="1"/>
    </row>
    <row r="34" spans="1:40" ht="16.5" x14ac:dyDescent="0.35">
      <c r="A34" s="92"/>
      <c r="B34" s="92"/>
      <c r="C34" s="98"/>
      <c r="D34" s="93"/>
      <c r="E34" s="90">
        <f t="shared" si="0"/>
        <v>0</v>
      </c>
      <c r="F34" s="90">
        <f t="shared" si="1"/>
        <v>0</v>
      </c>
      <c r="G34" s="90">
        <f t="shared" si="2"/>
        <v>0</v>
      </c>
      <c r="H34" s="90">
        <f t="shared" si="3"/>
        <v>0</v>
      </c>
      <c r="I34" s="103"/>
      <c r="J34" s="103"/>
      <c r="K34" s="103"/>
      <c r="L34" s="103"/>
      <c r="M34" s="104"/>
      <c r="N34" s="85">
        <f t="shared" si="4"/>
        <v>0</v>
      </c>
      <c r="O34" s="86">
        <f t="shared" si="5"/>
        <v>0</v>
      </c>
      <c r="P34" s="94"/>
      <c r="Q34" s="88">
        <f t="shared" si="6"/>
        <v>0</v>
      </c>
      <c r="R34" s="95"/>
      <c r="S34" s="90">
        <f t="shared" si="7"/>
        <v>0</v>
      </c>
      <c r="T34" s="96"/>
      <c r="U34" s="96"/>
      <c r="V34" s="90">
        <f t="shared" si="8"/>
        <v>0</v>
      </c>
      <c r="W34" s="79" t="str">
        <f>IFERROR(IF(D34="MENSUAL",ISR(C34,isr_mensual,subsidio_mensual),IF(D34="QUINCENAL",ISR(C34,isr_quincenal,subsidio_qunicenal),IF(D34 = "SEMANAL",ISR(C34,isr_semanal,subsidio_semanal),ISR(C34,isr_catorcenal,subsidio_catorcenal)))),0)</f>
        <v/>
      </c>
      <c r="X34" s="35"/>
      <c r="Y34" s="35"/>
      <c r="Z34" s="35"/>
      <c r="AA34" s="35"/>
      <c r="AB34" s="35"/>
      <c r="AC34" s="35"/>
      <c r="AD34" s="35"/>
      <c r="AE34" s="35"/>
      <c r="AF34" s="35"/>
      <c r="AG34" s="1"/>
      <c r="AH34" s="1"/>
      <c r="AI34" s="1"/>
      <c r="AJ34" s="1"/>
      <c r="AK34" s="1"/>
      <c r="AL34" s="1"/>
      <c r="AM34" s="1"/>
      <c r="AN34" s="1"/>
    </row>
    <row r="35" spans="1:40" ht="16.5" x14ac:dyDescent="0.35">
      <c r="A35" s="92"/>
      <c r="B35" s="92"/>
      <c r="C35" s="98"/>
      <c r="D35" s="93"/>
      <c r="E35" s="90">
        <f t="shared" si="0"/>
        <v>0</v>
      </c>
      <c r="F35" s="90">
        <f t="shared" si="1"/>
        <v>0</v>
      </c>
      <c r="G35" s="90">
        <f t="shared" si="2"/>
        <v>0</v>
      </c>
      <c r="H35" s="90">
        <f t="shared" si="3"/>
        <v>0</v>
      </c>
      <c r="I35" s="103"/>
      <c r="J35" s="103"/>
      <c r="K35" s="103"/>
      <c r="L35" s="103"/>
      <c r="M35" s="104"/>
      <c r="N35" s="85">
        <f t="shared" si="4"/>
        <v>0</v>
      </c>
      <c r="O35" s="86">
        <f t="shared" si="5"/>
        <v>0</v>
      </c>
      <c r="P35" s="94"/>
      <c r="Q35" s="88">
        <f t="shared" si="6"/>
        <v>0</v>
      </c>
      <c r="R35" s="95"/>
      <c r="S35" s="90">
        <f t="shared" si="7"/>
        <v>0</v>
      </c>
      <c r="T35" s="96"/>
      <c r="U35" s="96"/>
      <c r="V35" s="90">
        <f t="shared" si="8"/>
        <v>0</v>
      </c>
      <c r="W35" s="79" t="str">
        <f>IFERROR(IF(D35="MENSUAL",ISR(C35,isr_mensual,subsidio_mensual),IF(D35="QUINCENAL",ISR(C35,isr_quincenal,subsidio_qunicenal),IF(D35 = "SEMANAL",ISR(C35,isr_semanal,subsidio_semanal),ISR(C35,isr_catorcenal,subsidio_catorcenal)))),0)</f>
        <v/>
      </c>
      <c r="X35" s="35"/>
      <c r="Y35" s="35"/>
      <c r="Z35" s="35"/>
      <c r="AA35" s="35"/>
      <c r="AB35" s="35"/>
      <c r="AC35" s="35"/>
      <c r="AD35" s="35"/>
      <c r="AE35" s="35"/>
      <c r="AF35" s="35"/>
      <c r="AG35" s="1"/>
      <c r="AH35" s="1"/>
      <c r="AI35" s="1"/>
      <c r="AJ35" s="1"/>
      <c r="AK35" s="1"/>
      <c r="AL35" s="1"/>
      <c r="AM35" s="1"/>
      <c r="AN35" s="1"/>
    </row>
    <row r="36" spans="1:40" ht="16.5" x14ac:dyDescent="0.35">
      <c r="A36" s="92"/>
      <c r="B36" s="92"/>
      <c r="C36" s="98"/>
      <c r="D36" s="93"/>
      <c r="E36" s="90">
        <f t="shared" si="0"/>
        <v>0</v>
      </c>
      <c r="F36" s="90">
        <f t="shared" si="1"/>
        <v>0</v>
      </c>
      <c r="G36" s="90">
        <f t="shared" si="2"/>
        <v>0</v>
      </c>
      <c r="H36" s="90">
        <f t="shared" si="3"/>
        <v>0</v>
      </c>
      <c r="I36" s="103"/>
      <c r="J36" s="103"/>
      <c r="K36" s="103"/>
      <c r="L36" s="103"/>
      <c r="M36" s="104"/>
      <c r="N36" s="85">
        <f t="shared" si="4"/>
        <v>0</v>
      </c>
      <c r="O36" s="86">
        <f t="shared" si="5"/>
        <v>0</v>
      </c>
      <c r="P36" s="94"/>
      <c r="Q36" s="88">
        <f t="shared" si="6"/>
        <v>0</v>
      </c>
      <c r="R36" s="95"/>
      <c r="S36" s="90">
        <f t="shared" si="7"/>
        <v>0</v>
      </c>
      <c r="T36" s="96"/>
      <c r="U36" s="96"/>
      <c r="V36" s="90">
        <f t="shared" si="8"/>
        <v>0</v>
      </c>
      <c r="W36" s="79" t="str">
        <f>IFERROR(IF(D36="MENSUAL",ISR(C36,isr_mensual,subsidio_mensual),IF(D36="QUINCENAL",ISR(C36,isr_quincenal,subsidio_qunicenal),IF(D36 = "SEMANAL",ISR(C36,isr_semanal,subsidio_semanal),ISR(C36,isr_catorcenal,subsidio_catorcenal)))),0)</f>
        <v/>
      </c>
      <c r="X36" s="35"/>
      <c r="Y36" s="35"/>
      <c r="Z36" s="35"/>
      <c r="AA36" s="35"/>
      <c r="AB36" s="35"/>
      <c r="AC36" s="35"/>
      <c r="AD36" s="35"/>
      <c r="AE36" s="35"/>
      <c r="AF36" s="35"/>
      <c r="AG36" s="1"/>
      <c r="AH36" s="1"/>
      <c r="AI36" s="1"/>
      <c r="AJ36" s="1"/>
      <c r="AK36" s="1"/>
      <c r="AL36" s="1"/>
      <c r="AM36" s="1"/>
      <c r="AN36" s="1"/>
    </row>
    <row r="37" spans="1:40" ht="16.5" x14ac:dyDescent="0.35">
      <c r="A37" s="92"/>
      <c r="B37" s="92"/>
      <c r="C37" s="98"/>
      <c r="D37" s="93"/>
      <c r="E37" s="90">
        <f t="shared" si="0"/>
        <v>0</v>
      </c>
      <c r="F37" s="90">
        <f t="shared" si="1"/>
        <v>0</v>
      </c>
      <c r="G37" s="90">
        <f t="shared" si="2"/>
        <v>0</v>
      </c>
      <c r="H37" s="90">
        <f t="shared" si="3"/>
        <v>0</v>
      </c>
      <c r="I37" s="103"/>
      <c r="J37" s="103"/>
      <c r="K37" s="103"/>
      <c r="L37" s="103"/>
      <c r="M37" s="104"/>
      <c r="N37" s="85">
        <f t="shared" si="4"/>
        <v>0</v>
      </c>
      <c r="O37" s="86">
        <f t="shared" si="5"/>
        <v>0</v>
      </c>
      <c r="P37" s="94"/>
      <c r="Q37" s="88">
        <f t="shared" si="6"/>
        <v>0</v>
      </c>
      <c r="R37" s="95"/>
      <c r="S37" s="90">
        <f t="shared" si="7"/>
        <v>0</v>
      </c>
      <c r="T37" s="96"/>
      <c r="U37" s="96"/>
      <c r="V37" s="90">
        <f t="shared" si="8"/>
        <v>0</v>
      </c>
      <c r="W37" s="79" t="str">
        <f>IFERROR(IF(D37="MENSUAL",ISR(C37,isr_mensual,subsidio_mensual),IF(D37="QUINCENAL",ISR(C37,isr_quincenal,subsidio_qunicenal),IF(D37 = "SEMANAL",ISR(C37,isr_semanal,subsidio_semanal),ISR(C37,isr_catorcenal,subsidio_catorcenal)))),0)</f>
        <v/>
      </c>
      <c r="X37" s="35"/>
      <c r="Y37" s="35"/>
      <c r="Z37" s="35"/>
      <c r="AA37" s="35"/>
      <c r="AB37" s="35"/>
      <c r="AC37" s="35"/>
      <c r="AD37" s="35"/>
      <c r="AE37" s="35"/>
      <c r="AF37" s="35"/>
      <c r="AG37" s="1"/>
      <c r="AH37" s="1"/>
      <c r="AI37" s="1"/>
      <c r="AJ37" s="1"/>
      <c r="AK37" s="1"/>
      <c r="AL37" s="1"/>
      <c r="AM37" s="1"/>
      <c r="AN37" s="1"/>
    </row>
    <row r="38" spans="1:40" ht="16.5" x14ac:dyDescent="0.35">
      <c r="A38" s="92"/>
      <c r="B38" s="92"/>
      <c r="C38" s="98"/>
      <c r="D38" s="93"/>
      <c r="E38" s="90">
        <f t="shared" si="0"/>
        <v>0</v>
      </c>
      <c r="F38" s="90">
        <f t="shared" si="1"/>
        <v>0</v>
      </c>
      <c r="G38" s="90">
        <f t="shared" si="2"/>
        <v>0</v>
      </c>
      <c r="H38" s="90">
        <f t="shared" si="3"/>
        <v>0</v>
      </c>
      <c r="I38" s="103"/>
      <c r="J38" s="103"/>
      <c r="K38" s="103"/>
      <c r="L38" s="103"/>
      <c r="M38" s="104"/>
      <c r="N38" s="85">
        <f t="shared" si="4"/>
        <v>0</v>
      </c>
      <c r="O38" s="86">
        <f t="shared" si="5"/>
        <v>0</v>
      </c>
      <c r="P38" s="94"/>
      <c r="Q38" s="88">
        <f t="shared" si="6"/>
        <v>0</v>
      </c>
      <c r="R38" s="95"/>
      <c r="S38" s="90">
        <f t="shared" si="7"/>
        <v>0</v>
      </c>
      <c r="T38" s="96"/>
      <c r="U38" s="96"/>
      <c r="V38" s="90">
        <f t="shared" si="8"/>
        <v>0</v>
      </c>
      <c r="W38" s="79" t="str">
        <f>IFERROR(IF(D38="MENSUAL",ISR(C38,isr_mensual,subsidio_mensual),IF(D38="QUINCENAL",ISR(C38,isr_quincenal,subsidio_qunicenal),IF(D38 = "SEMANAL",ISR(C38,isr_semanal,subsidio_semanal),ISR(C38,isr_catorcenal,subsidio_catorcenal)))),0)</f>
        <v/>
      </c>
      <c r="X38" s="35"/>
      <c r="Y38" s="35"/>
      <c r="Z38" s="35"/>
      <c r="AA38" s="35"/>
      <c r="AB38" s="35"/>
      <c r="AC38" s="35"/>
      <c r="AD38" s="35"/>
      <c r="AE38" s="35"/>
      <c r="AF38" s="35"/>
      <c r="AG38" s="1"/>
      <c r="AH38" s="1"/>
      <c r="AI38" s="1"/>
      <c r="AJ38" s="1"/>
      <c r="AK38" s="1"/>
      <c r="AL38" s="1"/>
      <c r="AM38" s="1"/>
      <c r="AN38" s="1"/>
    </row>
    <row r="39" spans="1:40" ht="16.5" x14ac:dyDescent="0.35">
      <c r="A39" s="92"/>
      <c r="B39" s="92"/>
      <c r="C39" s="98"/>
      <c r="D39" s="93"/>
      <c r="E39" s="90">
        <f t="shared" si="0"/>
        <v>0</v>
      </c>
      <c r="F39" s="90">
        <f t="shared" si="1"/>
        <v>0</v>
      </c>
      <c r="G39" s="90">
        <f t="shared" si="2"/>
        <v>0</v>
      </c>
      <c r="H39" s="90">
        <f t="shared" si="3"/>
        <v>0</v>
      </c>
      <c r="I39" s="103"/>
      <c r="J39" s="103"/>
      <c r="K39" s="103"/>
      <c r="L39" s="103"/>
      <c r="M39" s="104"/>
      <c r="N39" s="85">
        <f t="shared" si="4"/>
        <v>0</v>
      </c>
      <c r="O39" s="86">
        <f t="shared" si="5"/>
        <v>0</v>
      </c>
      <c r="P39" s="94"/>
      <c r="Q39" s="88">
        <f t="shared" si="6"/>
        <v>0</v>
      </c>
      <c r="R39" s="95"/>
      <c r="S39" s="90">
        <f t="shared" si="7"/>
        <v>0</v>
      </c>
      <c r="T39" s="96"/>
      <c r="U39" s="96"/>
      <c r="V39" s="90">
        <f t="shared" si="8"/>
        <v>0</v>
      </c>
      <c r="W39" s="79" t="str">
        <f>IFERROR(IF(D39="MENSUAL",ISR(C39,isr_mensual,subsidio_mensual),IF(D39="QUINCENAL",ISR(C39,isr_quincenal,subsidio_qunicenal),IF(D39 = "SEMANAL",ISR(C39,isr_semanal,subsidio_semanal),ISR(C39,isr_catorcenal,subsidio_catorcenal)))),0)</f>
        <v/>
      </c>
      <c r="X39" s="35"/>
      <c r="Y39" s="35"/>
      <c r="Z39" s="35"/>
      <c r="AA39" s="35"/>
      <c r="AB39" s="35"/>
      <c r="AC39" s="35"/>
      <c r="AD39" s="35"/>
      <c r="AE39" s="35"/>
      <c r="AF39" s="35"/>
      <c r="AG39" s="1"/>
      <c r="AH39" s="1"/>
      <c r="AI39" s="1"/>
      <c r="AJ39" s="1"/>
      <c r="AK39" s="1"/>
      <c r="AL39" s="1"/>
      <c r="AM39" s="1"/>
      <c r="AN39" s="1"/>
    </row>
    <row r="40" spans="1:40" ht="16.5" x14ac:dyDescent="0.35">
      <c r="A40" s="92"/>
      <c r="B40" s="92"/>
      <c r="C40" s="98"/>
      <c r="D40" s="93"/>
      <c r="E40" s="90">
        <f t="shared" si="0"/>
        <v>0</v>
      </c>
      <c r="F40" s="90">
        <f t="shared" si="1"/>
        <v>0</v>
      </c>
      <c r="G40" s="90">
        <f t="shared" si="2"/>
        <v>0</v>
      </c>
      <c r="H40" s="90">
        <f t="shared" si="3"/>
        <v>0</v>
      </c>
      <c r="I40" s="103"/>
      <c r="J40" s="103"/>
      <c r="K40" s="103"/>
      <c r="L40" s="103"/>
      <c r="M40" s="104"/>
      <c r="N40" s="85">
        <f t="shared" si="4"/>
        <v>0</v>
      </c>
      <c r="O40" s="86">
        <f t="shared" si="5"/>
        <v>0</v>
      </c>
      <c r="P40" s="94"/>
      <c r="Q40" s="88">
        <f t="shared" si="6"/>
        <v>0</v>
      </c>
      <c r="R40" s="95"/>
      <c r="S40" s="90">
        <f t="shared" si="7"/>
        <v>0</v>
      </c>
      <c r="T40" s="96"/>
      <c r="U40" s="96"/>
      <c r="V40" s="90">
        <f t="shared" si="8"/>
        <v>0</v>
      </c>
      <c r="W40" s="79" t="str">
        <f>IFERROR(IF(D40="MENSUAL",ISR(C40,isr_mensual,subsidio_mensual),IF(D40="QUINCENAL",ISR(C40,isr_quincenal,subsidio_qunicenal),IF(D40 = "SEMANAL",ISR(C40,isr_semanal,subsidio_semanal),ISR(C40,isr_catorcenal,subsidio_catorcenal)))),0)</f>
        <v/>
      </c>
      <c r="X40" s="35"/>
      <c r="Y40" s="35"/>
      <c r="Z40" s="35"/>
      <c r="AA40" s="35"/>
      <c r="AB40" s="35"/>
      <c r="AC40" s="35"/>
      <c r="AD40" s="35"/>
      <c r="AE40" s="35"/>
      <c r="AF40" s="35"/>
      <c r="AG40" s="1"/>
      <c r="AH40" s="1"/>
      <c r="AI40" s="1"/>
      <c r="AJ40" s="1"/>
      <c r="AK40" s="1"/>
      <c r="AL40" s="1"/>
      <c r="AM40" s="1"/>
      <c r="AN40" s="1"/>
    </row>
    <row r="41" spans="1:40" ht="16.5" x14ac:dyDescent="0.35">
      <c r="A41" s="92"/>
      <c r="B41" s="92"/>
      <c r="C41" s="98"/>
      <c r="D41" s="93"/>
      <c r="E41" s="90">
        <f t="shared" si="0"/>
        <v>0</v>
      </c>
      <c r="F41" s="90">
        <f t="shared" si="1"/>
        <v>0</v>
      </c>
      <c r="G41" s="90">
        <f t="shared" si="2"/>
        <v>0</v>
      </c>
      <c r="H41" s="90">
        <f t="shared" si="3"/>
        <v>0</v>
      </c>
      <c r="I41" s="103"/>
      <c r="J41" s="103"/>
      <c r="K41" s="103"/>
      <c r="L41" s="103"/>
      <c r="M41" s="104"/>
      <c r="N41" s="85">
        <f t="shared" si="4"/>
        <v>0</v>
      </c>
      <c r="O41" s="86">
        <f t="shared" si="5"/>
        <v>0</v>
      </c>
      <c r="P41" s="94"/>
      <c r="Q41" s="88">
        <f t="shared" si="6"/>
        <v>0</v>
      </c>
      <c r="R41" s="95"/>
      <c r="S41" s="90">
        <f t="shared" si="7"/>
        <v>0</v>
      </c>
      <c r="T41" s="96"/>
      <c r="U41" s="96"/>
      <c r="V41" s="90">
        <f t="shared" si="8"/>
        <v>0</v>
      </c>
      <c r="W41" s="79" t="str">
        <f>IFERROR(IF(D41="MENSUAL",ISR(C41,isr_mensual,subsidio_mensual),IF(D41="QUINCENAL",ISR(C41,isr_quincenal,subsidio_qunicenal),IF(D41 = "SEMANAL",ISR(C41,isr_semanal,subsidio_semanal),ISR(C41,isr_catorcenal,subsidio_catorcenal)))),0)</f>
        <v/>
      </c>
      <c r="X41" s="35"/>
      <c r="Y41" s="35"/>
      <c r="Z41" s="35"/>
      <c r="AA41" s="35"/>
      <c r="AB41" s="35"/>
      <c r="AC41" s="35"/>
      <c r="AD41" s="35"/>
      <c r="AE41" s="35"/>
      <c r="AF41" s="35"/>
      <c r="AG41" s="1"/>
      <c r="AH41" s="1"/>
      <c r="AI41" s="1"/>
      <c r="AJ41" s="1"/>
      <c r="AK41" s="1"/>
      <c r="AL41" s="1"/>
      <c r="AM41" s="1"/>
      <c r="AN41" s="1"/>
    </row>
    <row r="42" spans="1:40" ht="16.5" x14ac:dyDescent="0.35">
      <c r="A42" s="92"/>
      <c r="B42" s="92"/>
      <c r="C42" s="98"/>
      <c r="D42" s="93"/>
      <c r="E42" s="90">
        <f t="shared" si="0"/>
        <v>0</v>
      </c>
      <c r="F42" s="90">
        <f t="shared" si="1"/>
        <v>0</v>
      </c>
      <c r="G42" s="90">
        <f t="shared" si="2"/>
        <v>0</v>
      </c>
      <c r="H42" s="90">
        <f t="shared" si="3"/>
        <v>0</v>
      </c>
      <c r="I42" s="103"/>
      <c r="J42" s="103"/>
      <c r="K42" s="103"/>
      <c r="L42" s="103"/>
      <c r="M42" s="104"/>
      <c r="N42" s="85">
        <f t="shared" si="4"/>
        <v>0</v>
      </c>
      <c r="O42" s="86">
        <f t="shared" si="5"/>
        <v>0</v>
      </c>
      <c r="P42" s="94"/>
      <c r="Q42" s="88">
        <f t="shared" si="6"/>
        <v>0</v>
      </c>
      <c r="R42" s="95"/>
      <c r="S42" s="90">
        <f t="shared" si="7"/>
        <v>0</v>
      </c>
      <c r="T42" s="96"/>
      <c r="U42" s="96"/>
      <c r="V42" s="90">
        <f t="shared" si="8"/>
        <v>0</v>
      </c>
      <c r="W42" s="79" t="str">
        <f>IFERROR(IF(D42="MENSUAL",ISR(C42,isr_mensual,subsidio_mensual),IF(D42="QUINCENAL",ISR(C42,isr_quincenal,subsidio_qunicenal),IF(D42 = "SEMANAL",ISR(C42,isr_semanal,subsidio_semanal),ISR(C42,isr_catorcenal,subsidio_catorcenal)))),0)</f>
        <v/>
      </c>
      <c r="X42" s="35"/>
      <c r="Y42" s="35"/>
      <c r="Z42" s="35"/>
      <c r="AA42" s="35"/>
      <c r="AB42" s="35"/>
      <c r="AC42" s="35"/>
      <c r="AD42" s="35"/>
      <c r="AE42" s="35"/>
      <c r="AF42" s="35"/>
      <c r="AG42" s="1"/>
      <c r="AH42" s="1"/>
      <c r="AI42" s="1"/>
      <c r="AJ42" s="1"/>
      <c r="AK42" s="1"/>
      <c r="AL42" s="1"/>
      <c r="AM42" s="1"/>
      <c r="AN42" s="1"/>
    </row>
    <row r="43" spans="1:40" ht="16.5" x14ac:dyDescent="0.35">
      <c r="A43" s="92"/>
      <c r="B43" s="92"/>
      <c r="C43" s="98"/>
      <c r="D43" s="93"/>
      <c r="E43" s="90">
        <f t="shared" si="0"/>
        <v>0</v>
      </c>
      <c r="F43" s="90">
        <f t="shared" si="1"/>
        <v>0</v>
      </c>
      <c r="G43" s="90">
        <f t="shared" si="2"/>
        <v>0</v>
      </c>
      <c r="H43" s="90">
        <f t="shared" si="3"/>
        <v>0</v>
      </c>
      <c r="I43" s="103"/>
      <c r="J43" s="103"/>
      <c r="K43" s="103"/>
      <c r="L43" s="103"/>
      <c r="M43" s="104"/>
      <c r="N43" s="85">
        <f t="shared" si="4"/>
        <v>0</v>
      </c>
      <c r="O43" s="86">
        <f t="shared" si="5"/>
        <v>0</v>
      </c>
      <c r="P43" s="94"/>
      <c r="Q43" s="88">
        <f t="shared" si="6"/>
        <v>0</v>
      </c>
      <c r="R43" s="95"/>
      <c r="S43" s="90">
        <f t="shared" si="7"/>
        <v>0</v>
      </c>
      <c r="T43" s="96"/>
      <c r="U43" s="96"/>
      <c r="V43" s="90">
        <f t="shared" si="8"/>
        <v>0</v>
      </c>
      <c r="W43" s="79" t="str">
        <f>IFERROR(IF(D43="MENSUAL",ISR(C43,isr_mensual,subsidio_mensual),IF(D43="QUINCENAL",ISR(C43,isr_quincenal,subsidio_qunicenal),IF(D43 = "SEMANAL",ISR(C43,isr_semanal,subsidio_semanal),ISR(C43,isr_catorcenal,subsidio_catorcenal)))),0)</f>
        <v/>
      </c>
      <c r="X43" s="35"/>
      <c r="Y43" s="35"/>
      <c r="Z43" s="35"/>
      <c r="AA43" s="35"/>
      <c r="AB43" s="35"/>
      <c r="AC43" s="35"/>
      <c r="AD43" s="35"/>
      <c r="AE43" s="35"/>
      <c r="AF43" s="35"/>
      <c r="AG43" s="1"/>
      <c r="AH43" s="1"/>
      <c r="AI43" s="1"/>
      <c r="AJ43" s="1"/>
      <c r="AK43" s="1"/>
      <c r="AL43" s="1"/>
      <c r="AM43" s="1"/>
      <c r="AN43" s="1"/>
    </row>
    <row r="44" spans="1:40" ht="16.5" x14ac:dyDescent="0.35">
      <c r="A44" s="92"/>
      <c r="B44" s="92"/>
      <c r="C44" s="98"/>
      <c r="D44" s="93"/>
      <c r="E44" s="90">
        <f t="shared" si="0"/>
        <v>0</v>
      </c>
      <c r="F44" s="90">
        <f t="shared" si="1"/>
        <v>0</v>
      </c>
      <c r="G44" s="90">
        <f t="shared" si="2"/>
        <v>0</v>
      </c>
      <c r="H44" s="90">
        <f t="shared" si="3"/>
        <v>0</v>
      </c>
      <c r="I44" s="103"/>
      <c r="J44" s="103"/>
      <c r="K44" s="103"/>
      <c r="L44" s="103"/>
      <c r="M44" s="104"/>
      <c r="N44" s="85">
        <f t="shared" si="4"/>
        <v>0</v>
      </c>
      <c r="O44" s="86">
        <f t="shared" si="5"/>
        <v>0</v>
      </c>
      <c r="P44" s="94"/>
      <c r="Q44" s="88">
        <f t="shared" si="6"/>
        <v>0</v>
      </c>
      <c r="R44" s="95"/>
      <c r="S44" s="90">
        <f t="shared" si="7"/>
        <v>0</v>
      </c>
      <c r="T44" s="96"/>
      <c r="U44" s="96"/>
      <c r="V44" s="90">
        <f t="shared" si="8"/>
        <v>0</v>
      </c>
      <c r="W44" s="79" t="str">
        <f>IFERROR(IF(D44="MENSUAL",ISR(C44,isr_mensual,subsidio_mensual),IF(D44="QUINCENAL",ISR(C44,isr_quincenal,subsidio_qunicenal),IF(D44 = "SEMANAL",ISR(C44,isr_semanal,subsidio_semanal),ISR(C44,isr_catorcenal,subsidio_catorcenal)))),0)</f>
        <v/>
      </c>
      <c r="X44" s="35"/>
      <c r="Y44" s="35"/>
      <c r="Z44" s="35"/>
      <c r="AA44" s="35"/>
      <c r="AB44" s="35"/>
      <c r="AC44" s="35"/>
      <c r="AD44" s="35"/>
      <c r="AE44" s="35"/>
      <c r="AF44" s="35"/>
      <c r="AG44" s="1"/>
      <c r="AH44" s="1"/>
      <c r="AI44" s="1"/>
      <c r="AJ44" s="1"/>
      <c r="AK44" s="1"/>
      <c r="AL44" s="1"/>
      <c r="AM44" s="1"/>
      <c r="AN44" s="1"/>
    </row>
    <row r="45" spans="1:40" ht="16.5" x14ac:dyDescent="0.35">
      <c r="A45" s="92"/>
      <c r="B45" s="92"/>
      <c r="C45" s="98"/>
      <c r="D45" s="93"/>
      <c r="E45" s="90">
        <f t="shared" si="0"/>
        <v>0</v>
      </c>
      <c r="F45" s="90">
        <f t="shared" si="1"/>
        <v>0</v>
      </c>
      <c r="G45" s="90">
        <f t="shared" si="2"/>
        <v>0</v>
      </c>
      <c r="H45" s="90">
        <f t="shared" si="3"/>
        <v>0</v>
      </c>
      <c r="I45" s="103"/>
      <c r="J45" s="103"/>
      <c r="K45" s="103"/>
      <c r="L45" s="103"/>
      <c r="M45" s="104"/>
      <c r="N45" s="85">
        <f t="shared" si="4"/>
        <v>0</v>
      </c>
      <c r="O45" s="86">
        <f t="shared" si="5"/>
        <v>0</v>
      </c>
      <c r="P45" s="94"/>
      <c r="Q45" s="88">
        <f t="shared" si="6"/>
        <v>0</v>
      </c>
      <c r="R45" s="95"/>
      <c r="S45" s="90">
        <f t="shared" si="7"/>
        <v>0</v>
      </c>
      <c r="T45" s="96"/>
      <c r="U45" s="96"/>
      <c r="V45" s="90">
        <f t="shared" si="8"/>
        <v>0</v>
      </c>
      <c r="W45" s="79" t="str">
        <f>IFERROR(IF(D45="MENSUAL",ISR(C45,isr_mensual,subsidio_mensual),IF(D45="QUINCENAL",ISR(C45,isr_quincenal,subsidio_qunicenal),IF(D45 = "SEMANAL",ISR(C45,isr_semanal,subsidio_semanal),ISR(C45,isr_catorcenal,subsidio_catorcenal)))),0)</f>
        <v/>
      </c>
      <c r="X45" s="35"/>
      <c r="Y45" s="35"/>
      <c r="Z45" s="35"/>
      <c r="AA45" s="35"/>
      <c r="AB45" s="35"/>
      <c r="AC45" s="35"/>
      <c r="AD45" s="35"/>
      <c r="AE45" s="35"/>
      <c r="AF45" s="35"/>
      <c r="AG45" s="1"/>
      <c r="AH45" s="1"/>
      <c r="AI45" s="1"/>
      <c r="AJ45" s="1"/>
      <c r="AK45" s="1"/>
      <c r="AL45" s="1"/>
      <c r="AM45" s="1"/>
      <c r="AN45" s="1"/>
    </row>
    <row r="46" spans="1:40" ht="16.5" x14ac:dyDescent="0.35">
      <c r="A46" s="92"/>
      <c r="B46" s="92"/>
      <c r="C46" s="98"/>
      <c r="D46" s="93"/>
      <c r="E46" s="90">
        <f t="shared" si="0"/>
        <v>0</v>
      </c>
      <c r="F46" s="90">
        <f t="shared" si="1"/>
        <v>0</v>
      </c>
      <c r="G46" s="90">
        <f t="shared" si="2"/>
        <v>0</v>
      </c>
      <c r="H46" s="90">
        <f t="shared" si="3"/>
        <v>0</v>
      </c>
      <c r="I46" s="103"/>
      <c r="J46" s="103"/>
      <c r="K46" s="103"/>
      <c r="L46" s="103"/>
      <c r="M46" s="104"/>
      <c r="N46" s="85">
        <f t="shared" si="4"/>
        <v>0</v>
      </c>
      <c r="O46" s="86">
        <f t="shared" si="5"/>
        <v>0</v>
      </c>
      <c r="P46" s="94"/>
      <c r="Q46" s="88">
        <f t="shared" si="6"/>
        <v>0</v>
      </c>
      <c r="R46" s="95"/>
      <c r="S46" s="90">
        <f t="shared" si="7"/>
        <v>0</v>
      </c>
      <c r="T46" s="96"/>
      <c r="U46" s="96"/>
      <c r="V46" s="90">
        <f t="shared" si="8"/>
        <v>0</v>
      </c>
      <c r="W46" s="79" t="str">
        <f>IFERROR(IF(D46="MENSUAL",ISR(C46,isr_mensual,subsidio_mensual),IF(D46="QUINCENAL",ISR(C46,isr_quincenal,subsidio_qunicenal),IF(D46 = "SEMANAL",ISR(C46,isr_semanal,subsidio_semanal),ISR(C46,isr_catorcenal,subsidio_catorcenal)))),0)</f>
        <v/>
      </c>
      <c r="X46" s="35"/>
      <c r="Y46" s="35"/>
      <c r="Z46" s="35"/>
      <c r="AA46" s="35"/>
      <c r="AB46" s="35"/>
      <c r="AC46" s="35"/>
      <c r="AD46" s="35"/>
      <c r="AE46" s="35"/>
      <c r="AF46" s="35"/>
      <c r="AG46" s="1"/>
      <c r="AH46" s="1"/>
      <c r="AI46" s="1"/>
      <c r="AJ46" s="1"/>
      <c r="AK46" s="1"/>
      <c r="AL46" s="1"/>
      <c r="AM46" s="1"/>
      <c r="AN46" s="1"/>
    </row>
    <row r="47" spans="1:40" ht="16.5" x14ac:dyDescent="0.35">
      <c r="A47" s="92"/>
      <c r="B47" s="92"/>
      <c r="C47" s="98"/>
      <c r="D47" s="93"/>
      <c r="E47" s="90">
        <f t="shared" si="0"/>
        <v>0</v>
      </c>
      <c r="F47" s="90">
        <f t="shared" si="1"/>
        <v>0</v>
      </c>
      <c r="G47" s="90">
        <f t="shared" si="2"/>
        <v>0</v>
      </c>
      <c r="H47" s="90">
        <f t="shared" si="3"/>
        <v>0</v>
      </c>
      <c r="I47" s="103"/>
      <c r="J47" s="103"/>
      <c r="K47" s="103"/>
      <c r="L47" s="103"/>
      <c r="M47" s="104"/>
      <c r="N47" s="85">
        <f t="shared" si="4"/>
        <v>0</v>
      </c>
      <c r="O47" s="86">
        <f t="shared" si="5"/>
        <v>0</v>
      </c>
      <c r="P47" s="94"/>
      <c r="Q47" s="88">
        <f t="shared" si="6"/>
        <v>0</v>
      </c>
      <c r="R47" s="95"/>
      <c r="S47" s="90">
        <f t="shared" si="7"/>
        <v>0</v>
      </c>
      <c r="T47" s="96"/>
      <c r="U47" s="96"/>
      <c r="V47" s="90">
        <f t="shared" si="8"/>
        <v>0</v>
      </c>
      <c r="W47" s="79" t="str">
        <f>IFERROR(IF(D47="MENSUAL",ISR(C47,isr_mensual,subsidio_mensual),IF(D47="QUINCENAL",ISR(C47,isr_quincenal,subsidio_qunicenal),IF(D47 = "SEMANAL",ISR(C47,isr_semanal,subsidio_semanal),ISR(C47,isr_catorcenal,subsidio_catorcenal)))),0)</f>
        <v/>
      </c>
      <c r="X47" s="35"/>
      <c r="Y47" s="35"/>
      <c r="Z47" s="35"/>
      <c r="AA47" s="35"/>
      <c r="AB47" s="35"/>
      <c r="AC47" s="35"/>
      <c r="AD47" s="35"/>
      <c r="AE47" s="35"/>
      <c r="AF47" s="35"/>
      <c r="AG47" s="1"/>
      <c r="AH47" s="1"/>
      <c r="AI47" s="1"/>
      <c r="AJ47" s="1"/>
      <c r="AK47" s="1"/>
      <c r="AL47" s="1"/>
      <c r="AM47" s="1"/>
      <c r="AN47" s="1"/>
    </row>
    <row r="48" spans="1:40" ht="16.5" x14ac:dyDescent="0.35">
      <c r="A48" s="92"/>
      <c r="B48" s="92"/>
      <c r="C48" s="98"/>
      <c r="D48" s="93"/>
      <c r="E48" s="90">
        <f t="shared" si="0"/>
        <v>0</v>
      </c>
      <c r="F48" s="90">
        <f t="shared" si="1"/>
        <v>0</v>
      </c>
      <c r="G48" s="90">
        <f t="shared" si="2"/>
        <v>0</v>
      </c>
      <c r="H48" s="90">
        <f t="shared" si="3"/>
        <v>0</v>
      </c>
      <c r="I48" s="103"/>
      <c r="J48" s="103"/>
      <c r="K48" s="103"/>
      <c r="L48" s="103"/>
      <c r="M48" s="104"/>
      <c r="N48" s="85">
        <f t="shared" si="4"/>
        <v>0</v>
      </c>
      <c r="O48" s="86">
        <f t="shared" si="5"/>
        <v>0</v>
      </c>
      <c r="P48" s="94"/>
      <c r="Q48" s="88">
        <f t="shared" si="6"/>
        <v>0</v>
      </c>
      <c r="R48" s="97"/>
      <c r="S48" s="90">
        <f t="shared" si="7"/>
        <v>0</v>
      </c>
      <c r="T48" s="96"/>
      <c r="U48" s="96"/>
      <c r="V48" s="90">
        <f t="shared" si="8"/>
        <v>0</v>
      </c>
      <c r="W48" s="79" t="str">
        <f>IFERROR(IF(D48="MENSUAL",ISR(C48,isr_mensual,subsidio_mensual),IF(D48="QUINCENAL",ISR(C48,isr_quincenal,subsidio_qunicenal),IF(D48 = "SEMANAL",ISR(C48,isr_semanal,subsidio_semanal),ISR(C48,isr_catorcenal,subsidio_catorcenal)))),0)</f>
        <v/>
      </c>
      <c r="X48" s="35"/>
      <c r="Y48" s="35"/>
      <c r="Z48" s="35"/>
      <c r="AA48" s="35"/>
      <c r="AB48" s="35"/>
      <c r="AC48" s="35"/>
      <c r="AD48" s="35"/>
      <c r="AE48" s="35"/>
      <c r="AF48" s="35"/>
      <c r="AG48" s="1"/>
      <c r="AH48" s="1"/>
      <c r="AI48" s="1"/>
      <c r="AJ48" s="1"/>
      <c r="AK48" s="1"/>
      <c r="AL48" s="1"/>
      <c r="AM48" s="1"/>
      <c r="AN48" s="1"/>
    </row>
    <row r="49" spans="1:40" ht="16.5" x14ac:dyDescent="0.35">
      <c r="A49" s="92"/>
      <c r="B49" s="92"/>
      <c r="C49" s="98"/>
      <c r="D49" s="93"/>
      <c r="E49" s="90">
        <f t="shared" si="0"/>
        <v>0</v>
      </c>
      <c r="F49" s="90">
        <f t="shared" si="1"/>
        <v>0</v>
      </c>
      <c r="G49" s="90">
        <f t="shared" si="2"/>
        <v>0</v>
      </c>
      <c r="H49" s="90">
        <f t="shared" si="3"/>
        <v>0</v>
      </c>
      <c r="I49" s="103"/>
      <c r="J49" s="103"/>
      <c r="K49" s="103"/>
      <c r="L49" s="103"/>
      <c r="M49" s="104"/>
      <c r="N49" s="85">
        <f t="shared" si="4"/>
        <v>0</v>
      </c>
      <c r="O49" s="86">
        <f t="shared" si="5"/>
        <v>0</v>
      </c>
      <c r="P49" s="94"/>
      <c r="Q49" s="88">
        <f t="shared" si="6"/>
        <v>0</v>
      </c>
      <c r="R49" s="97"/>
      <c r="S49" s="90">
        <f t="shared" si="7"/>
        <v>0</v>
      </c>
      <c r="T49" s="96"/>
      <c r="U49" s="96"/>
      <c r="V49" s="90">
        <f t="shared" si="8"/>
        <v>0</v>
      </c>
      <c r="W49" s="79" t="str">
        <f>IFERROR(IF(D49="MENSUAL",ISR(C49,isr_mensual,subsidio_mensual),IF(D49="QUINCENAL",ISR(C49,isr_quincenal,subsidio_qunicenal),IF(D49 = "SEMANAL",ISR(C49,isr_semanal,subsidio_semanal),ISR(C49,isr_catorcenal,subsidio_catorcenal)))),0)</f>
        <v/>
      </c>
      <c r="X49" s="35"/>
      <c r="Y49" s="35"/>
      <c r="Z49" s="35"/>
      <c r="AA49" s="35"/>
      <c r="AB49" s="35"/>
      <c r="AC49" s="35"/>
      <c r="AD49" s="35"/>
      <c r="AE49" s="35"/>
      <c r="AF49" s="35"/>
      <c r="AG49" s="1"/>
      <c r="AH49" s="1"/>
      <c r="AI49" s="1"/>
      <c r="AJ49" s="1"/>
      <c r="AK49" s="1"/>
      <c r="AL49" s="1"/>
      <c r="AM49" s="1"/>
      <c r="AN49" s="1"/>
    </row>
    <row r="50" spans="1:40" ht="16.5" x14ac:dyDescent="0.35">
      <c r="A50" s="92"/>
      <c r="B50" s="92"/>
      <c r="C50" s="98"/>
      <c r="D50" s="93"/>
      <c r="E50" s="90">
        <f t="shared" si="0"/>
        <v>0</v>
      </c>
      <c r="F50" s="90">
        <f t="shared" si="1"/>
        <v>0</v>
      </c>
      <c r="G50" s="90">
        <f t="shared" si="2"/>
        <v>0</v>
      </c>
      <c r="H50" s="90">
        <f t="shared" si="3"/>
        <v>0</v>
      </c>
      <c r="I50" s="103"/>
      <c r="J50" s="103"/>
      <c r="K50" s="103"/>
      <c r="L50" s="103"/>
      <c r="M50" s="104"/>
      <c r="N50" s="85">
        <f t="shared" si="4"/>
        <v>0</v>
      </c>
      <c r="O50" s="86">
        <f t="shared" si="5"/>
        <v>0</v>
      </c>
      <c r="P50" s="94"/>
      <c r="Q50" s="88">
        <f t="shared" si="6"/>
        <v>0</v>
      </c>
      <c r="R50" s="97"/>
      <c r="S50" s="90">
        <f t="shared" si="7"/>
        <v>0</v>
      </c>
      <c r="T50" s="96"/>
      <c r="U50" s="96"/>
      <c r="V50" s="90">
        <f t="shared" si="8"/>
        <v>0</v>
      </c>
      <c r="W50" s="79" t="str">
        <f>IFERROR(IF(D50="MENSUAL",ISR(C50,isr_mensual,subsidio_mensual),IF(D50="QUINCENAL",ISR(C50,isr_quincenal,subsidio_qunicenal),IF(D50 = "SEMANAL",ISR(C50,isr_semanal,subsidio_semanal),ISR(C50,isr_catorcenal,subsidio_catorcenal)))),0)</f>
        <v/>
      </c>
      <c r="X50" s="35"/>
      <c r="Y50" s="35"/>
      <c r="Z50" s="35"/>
      <c r="AA50" s="35"/>
      <c r="AB50" s="35"/>
      <c r="AC50" s="35"/>
      <c r="AD50" s="35"/>
      <c r="AE50" s="35"/>
      <c r="AF50" s="35"/>
      <c r="AG50" s="1"/>
      <c r="AH50" s="1"/>
      <c r="AI50" s="1"/>
      <c r="AJ50" s="1"/>
      <c r="AK50" s="1"/>
      <c r="AL50" s="1"/>
      <c r="AM50" s="1"/>
      <c r="AN50" s="1"/>
    </row>
    <row r="51" spans="1:40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</row>
    <row r="52" spans="1:40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</row>
    <row r="53" spans="1:40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</row>
    <row r="54" spans="1:40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</row>
    <row r="55" spans="1:40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</row>
    <row r="56" spans="1:40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</row>
    <row r="57" spans="1:40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</row>
    <row r="58" spans="1:40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</row>
    <row r="59" spans="1:40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</row>
    <row r="60" spans="1:40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</row>
    <row r="61" spans="1:40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</row>
    <row r="62" spans="1:40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</row>
    <row r="63" spans="1:40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</row>
    <row r="64" spans="1:40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</row>
    <row r="65" spans="1:40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</row>
    <row r="66" spans="1:40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</row>
    <row r="67" spans="1:40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</row>
    <row r="68" spans="1:40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</row>
    <row r="69" spans="1:40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</row>
    <row r="70" spans="1:40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</row>
    <row r="71" spans="1:40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</row>
    <row r="72" spans="1:40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</row>
    <row r="73" spans="1:40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</row>
    <row r="74" spans="1:40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</row>
    <row r="75" spans="1:40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</row>
    <row r="76" spans="1:40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</row>
    <row r="77" spans="1:40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</row>
    <row r="78" spans="1:40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</row>
    <row r="79" spans="1:40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</row>
    <row r="80" spans="1:40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</row>
    <row r="81" spans="1:40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</row>
    <row r="82" spans="1:40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</row>
    <row r="83" spans="1:40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</row>
    <row r="84" spans="1:40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</row>
    <row r="85" spans="1:40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</row>
    <row r="86" spans="1:40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</row>
    <row r="87" spans="1:40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</row>
    <row r="88" spans="1:40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</row>
    <row r="89" spans="1:40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</row>
    <row r="90" spans="1:40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</row>
    <row r="91" spans="1:40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</row>
    <row r="92" spans="1:40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</row>
    <row r="93" spans="1:40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</row>
    <row r="94" spans="1:40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</row>
    <row r="95" spans="1:40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</row>
    <row r="96" spans="1:40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</row>
    <row r="97" spans="1:40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</row>
    <row r="98" spans="1:40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</row>
    <row r="99" spans="1:40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</row>
    <row r="100" spans="1:40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</row>
    <row r="102" spans="1:40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</row>
    <row r="103" spans="1:40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</row>
    <row r="104" spans="1:40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</row>
    <row r="105" spans="1:40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</row>
    <row r="106" spans="1:40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</row>
    <row r="107" spans="1:40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</row>
    <row r="108" spans="1:40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</row>
    <row r="109" spans="1:40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</row>
    <row r="110" spans="1:40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</row>
    <row r="111" spans="1:40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</row>
    <row r="112" spans="1:40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</row>
    <row r="113" spans="1:40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</row>
    <row r="114" spans="1:40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</row>
    <row r="115" spans="1:40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</row>
    <row r="116" spans="1:40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</row>
    <row r="117" spans="1:40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</row>
    <row r="118" spans="1:40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</row>
    <row r="119" spans="1:40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</row>
    <row r="120" spans="1:40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</row>
    <row r="121" spans="1:40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</row>
    <row r="122" spans="1:40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</row>
    <row r="123" spans="1:40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</row>
    <row r="124" spans="1:40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</row>
    <row r="125" spans="1:40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</row>
    <row r="126" spans="1:40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</row>
    <row r="127" spans="1:40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</row>
    <row r="128" spans="1:40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40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</row>
    <row r="130" spans="1:40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</row>
    <row r="131" spans="1:40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</row>
    <row r="132" spans="1:40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</row>
    <row r="133" spans="1:40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</row>
    <row r="134" spans="1:40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</row>
    <row r="135" spans="1:40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</row>
    <row r="136" spans="1:40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</row>
    <row r="137" spans="1:40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</row>
    <row r="138" spans="1:40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</row>
    <row r="139" spans="1:40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</row>
    <row r="140" spans="1:40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</row>
    <row r="141" spans="1:40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</row>
    <row r="142" spans="1:40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</row>
    <row r="143" spans="1:40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</row>
    <row r="144" spans="1:40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</row>
    <row r="145" spans="1:40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</row>
    <row r="146" spans="1:40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</row>
    <row r="147" spans="1:40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</row>
    <row r="148" spans="1:40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</row>
    <row r="149" spans="1:40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</row>
    <row r="150" spans="1:40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</row>
    <row r="151" spans="1:40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</row>
    <row r="152" spans="1:40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</row>
    <row r="153" spans="1:40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</row>
    <row r="154" spans="1:40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</row>
    <row r="155" spans="1:40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</row>
    <row r="156" spans="1:40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</row>
    <row r="157" spans="1:40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</row>
    <row r="158" spans="1:40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</row>
    <row r="159" spans="1:40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</row>
    <row r="160" spans="1:40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</row>
    <row r="161" spans="1:40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</row>
    <row r="162" spans="1:40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</row>
    <row r="163" spans="1:40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</row>
    <row r="164" spans="1:40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</row>
    <row r="165" spans="1:40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</row>
    <row r="166" spans="1:40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</row>
    <row r="167" spans="1:40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</row>
    <row r="168" spans="1:40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</row>
    <row r="169" spans="1:40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</row>
    <row r="170" spans="1:40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</row>
    <row r="171" spans="1:40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</row>
    <row r="172" spans="1:40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</row>
    <row r="173" spans="1:40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</row>
    <row r="174" spans="1:40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</row>
    <row r="175" spans="1:40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</row>
    <row r="176" spans="1:40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</row>
    <row r="177" spans="1:40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</row>
    <row r="178" spans="1:40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</row>
    <row r="179" spans="1:40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</row>
    <row r="180" spans="1:40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</row>
    <row r="181" spans="1:40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</row>
    <row r="182" spans="1:40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</row>
    <row r="183" spans="1:40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</row>
    <row r="184" spans="1:40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</row>
    <row r="185" spans="1:40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</row>
    <row r="186" spans="1:40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</row>
    <row r="187" spans="1:40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</row>
    <row r="188" spans="1:40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</row>
    <row r="189" spans="1:40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</row>
    <row r="190" spans="1:40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</row>
    <row r="191" spans="1:40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</row>
    <row r="192" spans="1:40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</row>
    <row r="193" spans="1:40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</row>
    <row r="194" spans="1:40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</row>
    <row r="195" spans="1:40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</row>
    <row r="196" spans="1:40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</row>
    <row r="197" spans="1:40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</row>
    <row r="198" spans="1:40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</row>
    <row r="199" spans="1:40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</row>
    <row r="200" spans="1:40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</row>
    <row r="201" spans="1:40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</row>
    <row r="202" spans="1:40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</row>
    <row r="203" spans="1:40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</row>
    <row r="204" spans="1:40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</row>
    <row r="205" spans="1:40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</row>
    <row r="206" spans="1:40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</row>
    <row r="207" spans="1:40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</row>
    <row r="208" spans="1:40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</row>
    <row r="209" spans="1:40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</row>
    <row r="210" spans="1:40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</row>
    <row r="211" spans="1:40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</row>
    <row r="212" spans="1:40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</row>
    <row r="213" spans="1:40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</row>
    <row r="214" spans="1:40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</row>
    <row r="215" spans="1:40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</row>
    <row r="216" spans="1:40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</row>
    <row r="217" spans="1:40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</row>
    <row r="218" spans="1:40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</row>
    <row r="219" spans="1:40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</row>
    <row r="220" spans="1:40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</row>
    <row r="221" spans="1:40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</row>
    <row r="222" spans="1:40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</row>
    <row r="223" spans="1:40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</row>
    <row r="224" spans="1:40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</row>
    <row r="225" spans="1:40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</row>
    <row r="226" spans="1:40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</row>
    <row r="227" spans="1:40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</row>
    <row r="228" spans="1:40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</row>
    <row r="229" spans="1:40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</row>
    <row r="230" spans="1:40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</row>
    <row r="231" spans="1:40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</row>
    <row r="232" spans="1:40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</row>
    <row r="233" spans="1:40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</row>
    <row r="234" spans="1:40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</row>
    <row r="235" spans="1:40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</row>
    <row r="236" spans="1:40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</row>
    <row r="237" spans="1:40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</row>
    <row r="238" spans="1:40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</row>
    <row r="239" spans="1:40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</row>
    <row r="240" spans="1:40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</row>
    <row r="241" spans="1:40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</row>
    <row r="242" spans="1:40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</row>
    <row r="243" spans="1:40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</row>
    <row r="244" spans="1:40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</row>
    <row r="245" spans="1:40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</row>
    <row r="246" spans="1:40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</row>
    <row r="247" spans="1:40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</row>
    <row r="248" spans="1:40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</row>
    <row r="249" spans="1:40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</row>
    <row r="250" spans="1:40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</row>
    <row r="251" spans="1:40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</row>
    <row r="252" spans="1:40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</row>
    <row r="253" spans="1:40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</row>
    <row r="254" spans="1:40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</row>
    <row r="255" spans="1:40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</row>
    <row r="256" spans="1:40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</row>
    <row r="257" spans="1:40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</row>
    <row r="258" spans="1:40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</row>
    <row r="259" spans="1:40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</row>
    <row r="260" spans="1:40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</row>
    <row r="261" spans="1:40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</row>
    <row r="262" spans="1:40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</row>
    <row r="263" spans="1:40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</row>
    <row r="264" spans="1:40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</row>
    <row r="265" spans="1:40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</row>
    <row r="266" spans="1:40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</row>
    <row r="267" spans="1:40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</row>
    <row r="268" spans="1:40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</row>
    <row r="269" spans="1:40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</row>
    <row r="270" spans="1:40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</row>
    <row r="271" spans="1:40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</row>
    <row r="272" spans="1:40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</row>
    <row r="273" spans="1:40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</row>
    <row r="274" spans="1:40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</row>
    <row r="275" spans="1:40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</row>
    <row r="276" spans="1:40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</row>
    <row r="277" spans="1:40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</row>
    <row r="278" spans="1:40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</row>
    <row r="279" spans="1:40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</row>
    <row r="280" spans="1:40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</row>
    <row r="281" spans="1:40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</row>
    <row r="282" spans="1:40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</row>
    <row r="283" spans="1:40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</row>
    <row r="284" spans="1:40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</row>
    <row r="285" spans="1:40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</row>
    <row r="286" spans="1:40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</row>
    <row r="287" spans="1:40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</row>
    <row r="288" spans="1:40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</row>
    <row r="289" spans="1:40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</row>
    <row r="290" spans="1:40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</row>
    <row r="291" spans="1:40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</row>
    <row r="292" spans="1:40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</row>
    <row r="293" spans="1:40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</row>
    <row r="294" spans="1:40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</row>
    <row r="295" spans="1:40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</row>
    <row r="296" spans="1:40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</row>
    <row r="297" spans="1:40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</row>
    <row r="298" spans="1:40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</row>
    <row r="299" spans="1:40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</row>
    <row r="300" spans="1:40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</row>
    <row r="301" spans="1:40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</row>
    <row r="302" spans="1:40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</row>
    <row r="303" spans="1:40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</row>
    <row r="304" spans="1:40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</row>
    <row r="305" spans="1:20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</row>
    <row r="306" spans="1:20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</row>
    <row r="307" spans="1:20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</row>
    <row r="308" spans="1:20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</row>
    <row r="309" spans="1:20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</row>
    <row r="310" spans="1:20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</row>
    <row r="311" spans="1:20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</row>
  </sheetData>
  <dataConsolidate/>
  <mergeCells count="13">
    <mergeCell ref="L7:L8"/>
    <mergeCell ref="E2:K4"/>
    <mergeCell ref="A10:A11"/>
    <mergeCell ref="B10:C11"/>
    <mergeCell ref="I7:J8"/>
    <mergeCell ref="K7:K8"/>
    <mergeCell ref="E7:G7"/>
    <mergeCell ref="E8:F8"/>
    <mergeCell ref="E9:F9"/>
    <mergeCell ref="E10:F10"/>
    <mergeCell ref="A8:A9"/>
    <mergeCell ref="B8:C9"/>
    <mergeCell ref="A7:C7"/>
  </mergeCells>
  <dataValidations count="6">
    <dataValidation type="list" allowBlank="1" showInputMessage="1" showErrorMessage="1" sqref="D17:D50">
      <formula1>$E$1:$H$1</formula1>
    </dataValidation>
    <dataValidation type="whole" allowBlank="1" showInputMessage="1" showErrorMessage="1" promptTitle="ADVERTENCIA" prompt="Solo se pueden pagar 4 al mes" sqref="P17:P50">
      <formula1>0</formula1>
      <formula2>4</formula2>
    </dataValidation>
    <dataValidation type="whole" allowBlank="1" showInputMessage="1" showErrorMessage="1" sqref="R17:R50">
      <formula1>0</formula1>
      <formula2>10</formula2>
    </dataValidation>
    <dataValidation type="whole" allowBlank="1" showInputMessage="1" showErrorMessage="1" sqref="M17:M50">
      <formula1>0</formula1>
      <formula2>150</formula2>
    </dataValidation>
    <dataValidation type="decimal" allowBlank="1" showInputMessage="1" showErrorMessage="1" sqref="C17:C50">
      <formula1>0</formula1>
      <formula2>1E+36</formula2>
    </dataValidation>
    <dataValidation type="decimal" allowBlank="1" showInputMessage="1" showErrorMessage="1" sqref="I17:L50">
      <formula1>0</formula1>
      <formula2>1E+30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X31"/>
  <sheetViews>
    <sheetView workbookViewId="0">
      <selection activeCell="C2" sqref="C2:Q5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74" t="s">
        <v>3</v>
      </c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73" t="s">
        <v>4</v>
      </c>
      <c r="E9" s="73"/>
      <c r="F9" s="73"/>
      <c r="G9" s="73"/>
      <c r="H9" s="1"/>
      <c r="I9" s="1"/>
      <c r="J9" s="1"/>
      <c r="K9" s="1"/>
      <c r="L9" s="1"/>
      <c r="M9" s="73" t="s">
        <v>10</v>
      </c>
      <c r="N9" s="73"/>
      <c r="O9" s="73"/>
      <c r="P9" s="6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7" t="s">
        <v>5</v>
      </c>
      <c r="E10" s="7" t="s">
        <v>6</v>
      </c>
      <c r="F10" s="7" t="s">
        <v>7</v>
      </c>
      <c r="G10" s="7" t="s">
        <v>8</v>
      </c>
      <c r="H10" s="1"/>
      <c r="I10" s="1"/>
      <c r="J10" s="1"/>
      <c r="K10" s="1"/>
      <c r="L10" s="1"/>
      <c r="M10" s="7" t="s">
        <v>11</v>
      </c>
      <c r="N10" s="7" t="s">
        <v>12</v>
      </c>
      <c r="O10" s="7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5">
        <v>0.01</v>
      </c>
      <c r="E11" s="5">
        <v>644.58000000000004</v>
      </c>
      <c r="F11" s="5">
        <v>0</v>
      </c>
      <c r="G11" s="5">
        <v>1.92</v>
      </c>
      <c r="H11" s="1"/>
      <c r="I11" s="1"/>
      <c r="J11" s="1"/>
      <c r="K11" s="1"/>
      <c r="L11" s="1"/>
      <c r="M11" s="5">
        <v>0.01</v>
      </c>
      <c r="N11" s="4">
        <v>1768.96</v>
      </c>
      <c r="O11" s="5">
        <v>407.02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5">
        <v>644.59</v>
      </c>
      <c r="E12" s="4">
        <v>5470.92</v>
      </c>
      <c r="F12" s="5">
        <v>12.38</v>
      </c>
      <c r="G12" s="5">
        <v>6.4</v>
      </c>
      <c r="H12" s="1"/>
      <c r="I12" s="1"/>
      <c r="J12" s="1"/>
      <c r="K12" s="1"/>
      <c r="L12" s="1"/>
      <c r="M12" s="4">
        <v>1768.97</v>
      </c>
      <c r="N12" s="4">
        <v>2653.38</v>
      </c>
      <c r="O12" s="5">
        <v>406.83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4">
        <v>5470.93</v>
      </c>
      <c r="E13" s="4">
        <v>9614.66</v>
      </c>
      <c r="F13" s="5">
        <v>321.26</v>
      </c>
      <c r="G13" s="5">
        <v>10.88</v>
      </c>
      <c r="H13" s="1"/>
      <c r="I13" s="1"/>
      <c r="J13" s="1"/>
      <c r="K13" s="1"/>
      <c r="L13" s="1"/>
      <c r="M13" s="4">
        <v>2653.39</v>
      </c>
      <c r="N13" s="4">
        <v>3472.84</v>
      </c>
      <c r="O13" s="5">
        <v>406.62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4">
        <v>9614.67</v>
      </c>
      <c r="E14" s="4">
        <v>11176.62</v>
      </c>
      <c r="F14" s="5">
        <v>772.1</v>
      </c>
      <c r="G14" s="5">
        <v>16</v>
      </c>
      <c r="H14" s="1"/>
      <c r="I14" s="1"/>
      <c r="J14" s="1"/>
      <c r="K14" s="1"/>
      <c r="L14" s="1"/>
      <c r="M14" s="4">
        <v>3472.85</v>
      </c>
      <c r="N14" s="4">
        <v>3537.87</v>
      </c>
      <c r="O14" s="5">
        <v>392.77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4">
        <v>11176.63</v>
      </c>
      <c r="E15" s="4">
        <v>13381.47</v>
      </c>
      <c r="F15" s="4">
        <v>1022.01</v>
      </c>
      <c r="G15" s="5">
        <v>17.920000000000002</v>
      </c>
      <c r="H15" s="1"/>
      <c r="I15" s="1"/>
      <c r="J15" s="1"/>
      <c r="K15" s="1"/>
      <c r="L15" s="1"/>
      <c r="M15" s="4">
        <v>3537.88</v>
      </c>
      <c r="N15" s="4">
        <v>4446.1499999999996</v>
      </c>
      <c r="O15" s="5">
        <v>382.46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4">
        <v>13381.48</v>
      </c>
      <c r="E16" s="4">
        <v>26988.5</v>
      </c>
      <c r="F16" s="4">
        <v>1417.12</v>
      </c>
      <c r="G16" s="5">
        <v>21.36</v>
      </c>
      <c r="H16" s="1"/>
      <c r="I16" s="1"/>
      <c r="J16" s="1"/>
      <c r="K16" s="1"/>
      <c r="L16" s="1"/>
      <c r="M16" s="4">
        <v>4446.16</v>
      </c>
      <c r="N16" s="4">
        <v>4717.18</v>
      </c>
      <c r="O16" s="5">
        <v>354.23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4">
        <v>26988.51</v>
      </c>
      <c r="E17" s="4">
        <v>42537.58</v>
      </c>
      <c r="F17" s="4">
        <v>4323.58</v>
      </c>
      <c r="G17" s="5">
        <v>23.52</v>
      </c>
      <c r="H17" s="1"/>
      <c r="I17" s="1"/>
      <c r="J17" s="1"/>
      <c r="K17" s="1"/>
      <c r="L17" s="1"/>
      <c r="M17" s="4">
        <v>4717.1899999999996</v>
      </c>
      <c r="N17" s="4">
        <v>5335.42</v>
      </c>
      <c r="O17" s="5">
        <v>324.87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4">
        <v>42537.59</v>
      </c>
      <c r="E18" s="4">
        <v>81211.25</v>
      </c>
      <c r="F18" s="4">
        <v>7980.73</v>
      </c>
      <c r="G18" s="5">
        <v>30</v>
      </c>
      <c r="H18" s="1"/>
      <c r="I18" s="1"/>
      <c r="J18" s="1"/>
      <c r="K18" s="1"/>
      <c r="L18" s="1"/>
      <c r="M18" s="4">
        <v>5335.43</v>
      </c>
      <c r="N18" s="4">
        <v>6224.67</v>
      </c>
      <c r="O18" s="5">
        <v>294.63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4">
        <v>81211.259999999995</v>
      </c>
      <c r="E19" s="4">
        <v>108281.67</v>
      </c>
      <c r="F19" s="4">
        <v>19582.830000000002</v>
      </c>
      <c r="G19" s="5">
        <v>32</v>
      </c>
      <c r="H19" s="1"/>
      <c r="I19" s="1"/>
      <c r="J19" s="1"/>
      <c r="K19" s="1"/>
      <c r="L19" s="1"/>
      <c r="M19" s="4">
        <v>6224.68</v>
      </c>
      <c r="N19" s="4">
        <v>7113.9</v>
      </c>
      <c r="O19" s="5">
        <v>253.54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4">
        <v>108281.68</v>
      </c>
      <c r="E20" s="4">
        <v>324845.01</v>
      </c>
      <c r="F20" s="4">
        <v>28245.360000000001</v>
      </c>
      <c r="G20" s="5">
        <v>34</v>
      </c>
      <c r="H20" s="1"/>
      <c r="I20" s="1"/>
      <c r="J20" s="1"/>
      <c r="K20" s="1"/>
      <c r="L20" s="1"/>
      <c r="M20" s="4">
        <v>7113.91</v>
      </c>
      <c r="N20" s="4">
        <v>7382.33</v>
      </c>
      <c r="O20" s="5">
        <v>217.61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4">
        <v>324845.02</v>
      </c>
      <c r="E21" s="5" t="s">
        <v>9</v>
      </c>
      <c r="F21" s="4">
        <v>101876.9</v>
      </c>
      <c r="G21" s="5">
        <v>35</v>
      </c>
      <c r="H21" s="1"/>
      <c r="I21" s="1"/>
      <c r="J21" s="1"/>
      <c r="K21" s="1"/>
      <c r="L21" s="1"/>
      <c r="M21" s="4">
        <v>7382.34</v>
      </c>
      <c r="N21" s="5" t="s">
        <v>9</v>
      </c>
      <c r="O21" s="5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M9:O9"/>
    <mergeCell ref="C2:Q5"/>
    <mergeCell ref="D9:G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X34"/>
  <sheetViews>
    <sheetView workbookViewId="0">
      <selection activeCell="C2" sqref="C2:Q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1"/>
      <c r="B2" s="1"/>
      <c r="C2" s="74" t="s">
        <v>1</v>
      </c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1"/>
      <c r="B3" s="1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1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1"/>
      <c r="S4" s="1"/>
      <c r="T4" s="1"/>
      <c r="U4" s="1"/>
      <c r="V4" s="1"/>
      <c r="W4" s="1"/>
      <c r="X4" s="1"/>
    </row>
    <row r="5" spans="1:24" ht="15" customHeight="1" x14ac:dyDescent="0.25">
      <c r="A5" s="1"/>
      <c r="B5" s="1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1"/>
      <c r="S5" s="1"/>
      <c r="T5" s="1"/>
      <c r="U5" s="1"/>
      <c r="V5" s="1"/>
      <c r="W5" s="1"/>
      <c r="X5" s="1"/>
    </row>
    <row r="6" spans="1:24" ht="15" customHeight="1" x14ac:dyDescent="0.25">
      <c r="A6" s="1"/>
      <c r="B6" s="1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1"/>
      <c r="R6" s="1"/>
      <c r="S6" s="1"/>
      <c r="T6" s="1"/>
      <c r="U6" s="1"/>
      <c r="V6" s="1"/>
      <c r="W6" s="1"/>
      <c r="X6" s="1"/>
    </row>
    <row r="7" spans="1:24" ht="15" customHeight="1" x14ac:dyDescent="0.25">
      <c r="A7" s="1"/>
      <c r="B7" s="1"/>
      <c r="C7" s="1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1"/>
      <c r="R7" s="1"/>
      <c r="S7" s="1"/>
      <c r="T7" s="1"/>
      <c r="U7" s="1"/>
      <c r="V7" s="1"/>
      <c r="W7" s="1"/>
      <c r="X7" s="1"/>
    </row>
    <row r="8" spans="1:24" ht="15" customHeight="1" x14ac:dyDescent="0.25">
      <c r="A8" s="1"/>
      <c r="B8" s="1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1"/>
      <c r="R8" s="1"/>
      <c r="S8" s="1"/>
      <c r="T8" s="1"/>
      <c r="U8" s="1"/>
      <c r="V8" s="1"/>
      <c r="W8" s="1"/>
      <c r="X8" s="1"/>
    </row>
    <row r="9" spans="1:24" ht="15" customHeight="1" x14ac:dyDescent="0.25">
      <c r="A9" s="1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1"/>
      <c r="R9" s="1"/>
      <c r="S9" s="1"/>
      <c r="T9" s="1"/>
      <c r="U9" s="1"/>
      <c r="V9" s="1"/>
      <c r="W9" s="1"/>
      <c r="X9" s="1"/>
    </row>
    <row r="10" spans="1:24" ht="15" customHeight="1" x14ac:dyDescent="0.25">
      <c r="A10" s="1"/>
      <c r="B10" s="1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Q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mensual">
          <controlPr defaultSize="0" autoLine="0" r:id="rId4">
            <anchor moveWithCells="1">
              <from>
                <xdr:col>2</xdr:col>
                <xdr:colOff>314325</xdr:colOff>
                <xdr:row>10</xdr:row>
                <xdr:rowOff>47625</xdr:rowOff>
              </from>
              <to>
                <xdr:col>6</xdr:col>
                <xdr:colOff>333375</xdr:colOff>
                <xdr:row>15</xdr:row>
                <xdr:rowOff>133350</xdr:rowOff>
              </to>
            </anchor>
          </controlPr>
        </control>
      </mc:Choice>
      <mc:Fallback>
        <control shapeId="2049" r:id="rId3" name="mensual"/>
      </mc:Fallback>
    </mc:AlternateContent>
    <mc:AlternateContent xmlns:mc="http://schemas.openxmlformats.org/markup-compatibility/2006">
      <mc:Choice Requires="x14">
        <control shapeId="2050" r:id="rId5" name="semanal">
          <controlPr defaultSize="0" autoLine="0" r:id="rId6">
            <anchor moveWithCells="1">
              <from>
                <xdr:col>12</xdr:col>
                <xdr:colOff>257175</xdr:colOff>
                <xdr:row>10</xdr:row>
                <xdr:rowOff>57150</xdr:rowOff>
              </from>
              <to>
                <xdr:col>16</xdr:col>
                <xdr:colOff>276225</xdr:colOff>
                <xdr:row>15</xdr:row>
                <xdr:rowOff>142875</xdr:rowOff>
              </to>
            </anchor>
          </controlPr>
        </control>
      </mc:Choice>
      <mc:Fallback>
        <control shapeId="2050" r:id="rId5" name="semanal"/>
      </mc:Fallback>
    </mc:AlternateContent>
    <mc:AlternateContent xmlns:mc="http://schemas.openxmlformats.org/markup-compatibility/2006">
      <mc:Choice Requires="x14">
        <control shapeId="2051" r:id="rId7" name="quincenal">
          <controlPr defaultSize="0" autoLine="0" r:id="rId8">
            <anchor moveWithCells="1">
              <from>
                <xdr:col>7</xdr:col>
                <xdr:colOff>409575</xdr:colOff>
                <xdr:row>10</xdr:row>
                <xdr:rowOff>66675</xdr:rowOff>
              </from>
              <to>
                <xdr:col>11</xdr:col>
                <xdr:colOff>428625</xdr:colOff>
                <xdr:row>15</xdr:row>
                <xdr:rowOff>152400</xdr:rowOff>
              </to>
            </anchor>
          </controlPr>
        </control>
      </mc:Choice>
      <mc:Fallback>
        <control shapeId="2051" r:id="rId7" name="quincenal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X34"/>
  <sheetViews>
    <sheetView workbookViewId="0">
      <selection activeCell="P19" sqref="P1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5" customHeight="1" x14ac:dyDescent="0.25">
      <c r="A2" s="1"/>
      <c r="B2" s="1"/>
      <c r="C2" s="75" t="s">
        <v>2</v>
      </c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1"/>
      <c r="S2" s="1"/>
      <c r="T2" s="1"/>
      <c r="U2" s="1"/>
      <c r="V2" s="1"/>
      <c r="W2" s="1"/>
      <c r="X2" s="1"/>
    </row>
    <row r="3" spans="1:24" ht="15" customHeight="1" x14ac:dyDescent="0.25">
      <c r="A3" s="1"/>
      <c r="B3" s="3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1"/>
      <c r="S3" s="1"/>
      <c r="T3" s="1"/>
      <c r="U3" s="1"/>
      <c r="V3" s="1"/>
      <c r="W3" s="1"/>
      <c r="X3" s="1"/>
    </row>
    <row r="4" spans="1:24" ht="15" customHeight="1" x14ac:dyDescent="0.25">
      <c r="A4" s="1"/>
      <c r="B4" s="3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1"/>
      <c r="S4" s="1"/>
      <c r="T4" s="1"/>
      <c r="U4" s="1"/>
      <c r="V4" s="1"/>
      <c r="W4" s="1"/>
      <c r="X4" s="1"/>
    </row>
    <row r="5" spans="1:24" ht="15" customHeight="1" x14ac:dyDescent="0.25">
      <c r="A5" s="1"/>
      <c r="B5" s="3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</sheetData>
  <mergeCells count="1">
    <mergeCell ref="C2:Q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6" r:id="rId3" name="mensualISR">
          <controlPr defaultSize="0" autoLine="0" r:id="rId4">
            <anchor moveWithCells="1">
              <from>
                <xdr:col>4</xdr:col>
                <xdr:colOff>428625</xdr:colOff>
                <xdr:row>9</xdr:row>
                <xdr:rowOff>19050</xdr:rowOff>
              </from>
              <to>
                <xdr:col>8</xdr:col>
                <xdr:colOff>447675</xdr:colOff>
                <xdr:row>14</xdr:row>
                <xdr:rowOff>104775</xdr:rowOff>
              </to>
            </anchor>
          </controlPr>
        </control>
      </mc:Choice>
      <mc:Fallback>
        <control shapeId="3076" r:id="rId3" name="mensualISR"/>
      </mc:Fallback>
    </mc:AlternateContent>
    <mc:AlternateContent xmlns:mc="http://schemas.openxmlformats.org/markup-compatibility/2006">
      <mc:Choice Requires="x14">
        <control shapeId="3077" r:id="rId5" name="semanalISR">
          <controlPr defaultSize="0" autoLine="0" r:id="rId6">
            <anchor moveWithCells="1">
              <from>
                <xdr:col>10</xdr:col>
                <xdr:colOff>552450</xdr:colOff>
                <xdr:row>20</xdr:row>
                <xdr:rowOff>0</xdr:rowOff>
              </from>
              <to>
                <xdr:col>14</xdr:col>
                <xdr:colOff>571500</xdr:colOff>
                <xdr:row>25</xdr:row>
                <xdr:rowOff>85725</xdr:rowOff>
              </to>
            </anchor>
          </controlPr>
        </control>
      </mc:Choice>
      <mc:Fallback>
        <control shapeId="3077" r:id="rId5" name="semanalISR"/>
      </mc:Fallback>
    </mc:AlternateContent>
    <mc:AlternateContent xmlns:mc="http://schemas.openxmlformats.org/markup-compatibility/2006">
      <mc:Choice Requires="x14">
        <control shapeId="3078" r:id="rId7" name="quincenalISR">
          <controlPr defaultSize="0" autoLine="0" r:id="rId8">
            <anchor moveWithCells="1">
              <from>
                <xdr:col>10</xdr:col>
                <xdr:colOff>514350</xdr:colOff>
                <xdr:row>8</xdr:row>
                <xdr:rowOff>161925</xdr:rowOff>
              </from>
              <to>
                <xdr:col>14</xdr:col>
                <xdr:colOff>533400</xdr:colOff>
                <xdr:row>14</xdr:row>
                <xdr:rowOff>57150</xdr:rowOff>
              </to>
            </anchor>
          </controlPr>
        </control>
      </mc:Choice>
      <mc:Fallback>
        <control shapeId="3078" r:id="rId7" name="quincenalISR"/>
      </mc:Fallback>
    </mc:AlternateContent>
    <mc:AlternateContent xmlns:mc="http://schemas.openxmlformats.org/markup-compatibility/2006">
      <mc:Choice Requires="x14">
        <control shapeId="3079" r:id="rId9" name="catorcenal">
          <controlPr defaultSize="0" autoLine="0" r:id="rId10">
            <anchor moveWithCells="1">
              <from>
                <xdr:col>4</xdr:col>
                <xdr:colOff>390525</xdr:colOff>
                <xdr:row>19</xdr:row>
                <xdr:rowOff>180975</xdr:rowOff>
              </from>
              <to>
                <xdr:col>8</xdr:col>
                <xdr:colOff>409575</xdr:colOff>
                <xdr:row>25</xdr:row>
                <xdr:rowOff>76200</xdr:rowOff>
              </to>
            </anchor>
          </controlPr>
        </control>
      </mc:Choice>
      <mc:Fallback>
        <control shapeId="3079" r:id="rId9" name="catorcenal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X31"/>
  <sheetViews>
    <sheetView workbookViewId="0">
      <selection activeCell="C2" sqref="C2:Q5"/>
    </sheetView>
  </sheetViews>
  <sheetFormatPr baseColWidth="10" defaultRowHeight="15" x14ac:dyDescent="0.25"/>
  <cols>
    <col min="12" max="12" width="11.42578125" customWidth="1"/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76" t="s">
        <v>15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73" t="s">
        <v>4</v>
      </c>
      <c r="E9" s="73"/>
      <c r="F9" s="73"/>
      <c r="G9" s="73"/>
      <c r="H9" s="1"/>
      <c r="I9" s="1"/>
      <c r="J9" s="1"/>
      <c r="K9" s="1"/>
      <c r="L9" s="1"/>
      <c r="M9" s="73" t="s">
        <v>10</v>
      </c>
      <c r="N9" s="73"/>
      <c r="O9" s="73"/>
      <c r="P9" s="6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7" t="s">
        <v>5</v>
      </c>
      <c r="E10" s="7" t="s">
        <v>6</v>
      </c>
      <c r="F10" s="7" t="s">
        <v>7</v>
      </c>
      <c r="G10" s="7" t="s">
        <v>8</v>
      </c>
      <c r="H10" s="1"/>
      <c r="I10" s="1"/>
      <c r="J10" s="1"/>
      <c r="K10" s="1"/>
      <c r="L10" s="1"/>
      <c r="M10" s="7" t="s">
        <v>11</v>
      </c>
      <c r="N10" s="7" t="s">
        <v>12</v>
      </c>
      <c r="O10" s="7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5">
        <v>0.01</v>
      </c>
      <c r="E11" s="5">
        <v>318</v>
      </c>
      <c r="F11" s="5">
        <v>0</v>
      </c>
      <c r="G11" s="5">
        <v>1.92</v>
      </c>
      <c r="H11" s="1"/>
      <c r="I11" s="1"/>
      <c r="J11" s="1"/>
      <c r="K11" s="1"/>
      <c r="L11" s="1"/>
      <c r="M11" s="5">
        <v>0.01</v>
      </c>
      <c r="N11" s="4">
        <v>872.85</v>
      </c>
      <c r="O11" s="5">
        <v>200.85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5">
        <v>318.01</v>
      </c>
      <c r="E12" s="4">
        <v>2699.4</v>
      </c>
      <c r="F12" s="5">
        <v>6.15</v>
      </c>
      <c r="G12" s="5">
        <v>6.4</v>
      </c>
      <c r="H12" s="1"/>
      <c r="I12" s="1"/>
      <c r="J12" s="1"/>
      <c r="K12" s="1"/>
      <c r="L12" s="1"/>
      <c r="M12" s="4">
        <v>872.86</v>
      </c>
      <c r="N12" s="4">
        <v>1309.2</v>
      </c>
      <c r="O12" s="5">
        <v>200.7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4">
        <v>2699.41</v>
      </c>
      <c r="E13" s="4">
        <v>4744.05</v>
      </c>
      <c r="F13" s="5">
        <v>158.55000000000001</v>
      </c>
      <c r="G13" s="5">
        <v>10.88</v>
      </c>
      <c r="H13" s="1"/>
      <c r="I13" s="1"/>
      <c r="J13" s="1"/>
      <c r="K13" s="1"/>
      <c r="L13" s="1"/>
      <c r="M13" s="4">
        <v>1309.21</v>
      </c>
      <c r="N13" s="4">
        <v>1713.6</v>
      </c>
      <c r="O13" s="5">
        <v>200.7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4">
        <v>4744.0600000000004</v>
      </c>
      <c r="E14" s="4">
        <v>5514.75</v>
      </c>
      <c r="F14" s="5">
        <v>381</v>
      </c>
      <c r="G14" s="5">
        <v>16</v>
      </c>
      <c r="H14" s="1"/>
      <c r="I14" s="1"/>
      <c r="J14" s="1"/>
      <c r="K14" s="1"/>
      <c r="L14" s="1"/>
      <c r="M14" s="4">
        <v>1713.61</v>
      </c>
      <c r="N14" s="4">
        <v>1745.7</v>
      </c>
      <c r="O14" s="5">
        <v>193.8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4">
        <v>5514.76</v>
      </c>
      <c r="E15" s="4">
        <v>6602.7</v>
      </c>
      <c r="F15" s="4">
        <v>504.3</v>
      </c>
      <c r="G15" s="5">
        <v>17.920000000000002</v>
      </c>
      <c r="H15" s="1"/>
      <c r="I15" s="1"/>
      <c r="J15" s="1"/>
      <c r="K15" s="1"/>
      <c r="L15" s="1"/>
      <c r="M15" s="4">
        <v>1745.71</v>
      </c>
      <c r="N15" s="4">
        <v>2193.75</v>
      </c>
      <c r="O15" s="5">
        <v>188.7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4">
        <v>6602.71</v>
      </c>
      <c r="E16" s="4">
        <v>13316.7</v>
      </c>
      <c r="F16" s="4">
        <v>699.3</v>
      </c>
      <c r="G16" s="5">
        <v>21.36</v>
      </c>
      <c r="H16" s="1"/>
      <c r="I16" s="1"/>
      <c r="J16" s="1"/>
      <c r="K16" s="1"/>
      <c r="L16" s="1"/>
      <c r="M16" s="4">
        <v>2193.7600000000002</v>
      </c>
      <c r="N16" s="4">
        <v>2327.5500000000002</v>
      </c>
      <c r="O16" s="5">
        <v>174.75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4">
        <v>13316.71</v>
      </c>
      <c r="E17" s="4">
        <v>20988.9</v>
      </c>
      <c r="F17" s="4">
        <v>2133.3000000000002</v>
      </c>
      <c r="G17" s="5">
        <v>23.52</v>
      </c>
      <c r="H17" s="1"/>
      <c r="I17" s="1"/>
      <c r="J17" s="1"/>
      <c r="K17" s="1"/>
      <c r="L17" s="1"/>
      <c r="M17" s="4">
        <v>2327.56</v>
      </c>
      <c r="N17" s="4">
        <v>2632.65</v>
      </c>
      <c r="O17" s="5">
        <v>160.35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4">
        <v>20988.91</v>
      </c>
      <c r="E18" s="4">
        <v>40071.300000000003</v>
      </c>
      <c r="F18" s="4">
        <v>3937.8</v>
      </c>
      <c r="G18" s="5">
        <v>30</v>
      </c>
      <c r="H18" s="1"/>
      <c r="I18" s="1"/>
      <c r="J18" s="1"/>
      <c r="K18" s="1"/>
      <c r="L18" s="1"/>
      <c r="M18" s="4">
        <v>2632.66</v>
      </c>
      <c r="N18" s="4">
        <v>3071.4</v>
      </c>
      <c r="O18" s="5">
        <v>145.35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4">
        <v>40071.31</v>
      </c>
      <c r="E19" s="4">
        <v>53428.5</v>
      </c>
      <c r="F19" s="4">
        <v>9662.5499999999993</v>
      </c>
      <c r="G19" s="5">
        <v>32</v>
      </c>
      <c r="H19" s="1"/>
      <c r="I19" s="1"/>
      <c r="J19" s="1"/>
      <c r="K19" s="1"/>
      <c r="L19" s="1"/>
      <c r="M19" s="4">
        <v>3071.41</v>
      </c>
      <c r="N19" s="4">
        <v>3510.15</v>
      </c>
      <c r="O19" s="5">
        <v>125.1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4">
        <v>53428.51</v>
      </c>
      <c r="E20" s="4">
        <v>160285.35</v>
      </c>
      <c r="F20" s="4">
        <v>13936.8</v>
      </c>
      <c r="G20" s="5">
        <v>34</v>
      </c>
      <c r="H20" s="1"/>
      <c r="I20" s="1"/>
      <c r="J20" s="1"/>
      <c r="K20" s="1"/>
      <c r="L20" s="1"/>
      <c r="M20" s="4">
        <v>3510.16</v>
      </c>
      <c r="N20" s="4">
        <v>3641.6</v>
      </c>
      <c r="O20" s="5">
        <v>107.4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4">
        <v>160285.35999999999</v>
      </c>
      <c r="E21" s="5" t="s">
        <v>9</v>
      </c>
      <c r="F21" s="4">
        <v>50268.15</v>
      </c>
      <c r="G21" s="5">
        <v>35</v>
      </c>
      <c r="H21" s="1"/>
      <c r="I21" s="1"/>
      <c r="J21" s="1"/>
      <c r="K21" s="1"/>
      <c r="L21" s="1"/>
      <c r="M21" s="4">
        <v>3642.61</v>
      </c>
      <c r="N21" s="5" t="s">
        <v>9</v>
      </c>
      <c r="O21" s="5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X32"/>
  <sheetViews>
    <sheetView workbookViewId="0">
      <selection activeCell="C2" sqref="C2:Q5"/>
    </sheetView>
  </sheetViews>
  <sheetFormatPr baseColWidth="10" defaultRowHeight="15" x14ac:dyDescent="0.25"/>
  <cols>
    <col min="15" max="15" width="14.42578125" customWidth="1"/>
  </cols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56" t="s">
        <v>14</v>
      </c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27.75" customHeight="1" x14ac:dyDescent="0.25">
      <c r="A9" s="1"/>
      <c r="B9" s="1"/>
      <c r="C9" s="1"/>
      <c r="D9" s="73" t="s">
        <v>4</v>
      </c>
      <c r="E9" s="73"/>
      <c r="F9" s="73"/>
      <c r="G9" s="73"/>
      <c r="H9" s="1"/>
      <c r="I9" s="1"/>
      <c r="J9" s="1"/>
      <c r="K9" s="1"/>
      <c r="L9" s="1"/>
      <c r="M9" s="73" t="s">
        <v>10</v>
      </c>
      <c r="N9" s="73"/>
      <c r="O9" s="73"/>
      <c r="P9" s="6"/>
      <c r="Q9" s="1"/>
      <c r="R9" s="1"/>
      <c r="S9" s="1"/>
      <c r="T9" s="1"/>
      <c r="U9" s="1"/>
      <c r="V9" s="1"/>
      <c r="W9" s="1"/>
      <c r="X9" s="1"/>
    </row>
    <row r="10" spans="1:24" ht="51" customHeight="1" x14ac:dyDescent="0.25">
      <c r="A10" s="1"/>
      <c r="B10" s="1"/>
      <c r="C10" s="1"/>
      <c r="D10" s="7" t="s">
        <v>5</v>
      </c>
      <c r="E10" s="7" t="s">
        <v>6</v>
      </c>
      <c r="F10" s="7" t="s">
        <v>7</v>
      </c>
      <c r="G10" s="7" t="s">
        <v>8</v>
      </c>
      <c r="H10" s="1"/>
      <c r="I10" s="1"/>
      <c r="J10" s="1"/>
      <c r="K10" s="1"/>
      <c r="L10" s="1"/>
      <c r="M10" s="7" t="s">
        <v>11</v>
      </c>
      <c r="N10" s="7" t="s">
        <v>12</v>
      </c>
      <c r="O10" s="7" t="s">
        <v>13</v>
      </c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5">
        <v>0.01</v>
      </c>
      <c r="E11" s="5">
        <v>148.4</v>
      </c>
      <c r="F11" s="5">
        <v>0</v>
      </c>
      <c r="G11" s="5">
        <v>1.92</v>
      </c>
      <c r="H11" s="1"/>
      <c r="I11" s="1"/>
      <c r="J11" s="1"/>
      <c r="K11" s="1"/>
      <c r="L11" s="1"/>
      <c r="M11" s="5">
        <v>0.01</v>
      </c>
      <c r="N11" s="4">
        <v>407.33</v>
      </c>
      <c r="O11" s="5">
        <v>93.73</v>
      </c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5">
        <v>148.41</v>
      </c>
      <c r="E12" s="4">
        <v>1259.72</v>
      </c>
      <c r="F12" s="5">
        <v>2.87</v>
      </c>
      <c r="G12" s="5">
        <v>6.4</v>
      </c>
      <c r="H12" s="1"/>
      <c r="I12" s="1"/>
      <c r="J12" s="1"/>
      <c r="K12" s="1"/>
      <c r="L12" s="1"/>
      <c r="M12" s="4">
        <v>407.34</v>
      </c>
      <c r="N12" s="4">
        <v>610.96</v>
      </c>
      <c r="O12" s="5">
        <v>93.66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4">
        <v>1259.73</v>
      </c>
      <c r="E13" s="4">
        <v>2213.89</v>
      </c>
      <c r="F13" s="5">
        <v>73.989999999999995</v>
      </c>
      <c r="G13" s="5">
        <v>10.88</v>
      </c>
      <c r="H13" s="1"/>
      <c r="I13" s="1"/>
      <c r="J13" s="1"/>
      <c r="K13" s="1"/>
      <c r="L13" s="1"/>
      <c r="M13" s="4">
        <v>610.97</v>
      </c>
      <c r="N13" s="4">
        <v>799.68</v>
      </c>
      <c r="O13" s="5">
        <v>93.66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4">
        <v>2213.9</v>
      </c>
      <c r="E14" s="4">
        <v>2573.5500000000002</v>
      </c>
      <c r="F14" s="5">
        <v>177.8</v>
      </c>
      <c r="G14" s="5">
        <v>16</v>
      </c>
      <c r="H14" s="1"/>
      <c r="I14" s="1"/>
      <c r="J14" s="1"/>
      <c r="K14" s="1"/>
      <c r="L14" s="1"/>
      <c r="M14" s="4">
        <v>799.69</v>
      </c>
      <c r="N14" s="4">
        <v>814.66</v>
      </c>
      <c r="O14" s="5">
        <v>90.44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4">
        <v>2573.56</v>
      </c>
      <c r="E15" s="4">
        <v>3081.26</v>
      </c>
      <c r="F15" s="4">
        <v>235.34</v>
      </c>
      <c r="G15" s="5">
        <v>17.920000000000002</v>
      </c>
      <c r="H15" s="1"/>
      <c r="I15" s="1"/>
      <c r="J15" s="1"/>
      <c r="K15" s="1"/>
      <c r="L15" s="1"/>
      <c r="M15" s="4">
        <v>814.67</v>
      </c>
      <c r="N15" s="4">
        <v>1023.75</v>
      </c>
      <c r="O15" s="5">
        <v>88.06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4">
        <v>3081.27</v>
      </c>
      <c r="E16" s="4">
        <v>6214.46</v>
      </c>
      <c r="F16" s="4">
        <v>326.33999999999997</v>
      </c>
      <c r="G16" s="5">
        <v>21.36</v>
      </c>
      <c r="H16" s="1"/>
      <c r="I16" s="1"/>
      <c r="J16" s="1"/>
      <c r="K16" s="1"/>
      <c r="L16" s="1"/>
      <c r="M16" s="4">
        <v>1023.76</v>
      </c>
      <c r="N16" s="4">
        <v>1086.19</v>
      </c>
      <c r="O16" s="5">
        <v>81.55</v>
      </c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4">
        <v>6214.47</v>
      </c>
      <c r="E17" s="4">
        <v>9794.82</v>
      </c>
      <c r="F17" s="4">
        <v>995.54</v>
      </c>
      <c r="G17" s="5">
        <v>23.52</v>
      </c>
      <c r="H17" s="1"/>
      <c r="I17" s="1"/>
      <c r="J17" s="1"/>
      <c r="K17" s="1"/>
      <c r="L17" s="1"/>
      <c r="M17" s="4">
        <v>1086.2</v>
      </c>
      <c r="N17" s="4">
        <v>1228.57</v>
      </c>
      <c r="O17" s="5">
        <v>74.83</v>
      </c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4">
        <v>9794.83</v>
      </c>
      <c r="E18" s="4">
        <v>18699.939999999999</v>
      </c>
      <c r="F18" s="4">
        <v>1837.64</v>
      </c>
      <c r="G18" s="5">
        <v>30</v>
      </c>
      <c r="H18" s="1"/>
      <c r="I18" s="1"/>
      <c r="J18" s="1"/>
      <c r="K18" s="1"/>
      <c r="L18" s="1"/>
      <c r="M18" s="4">
        <v>1228.58</v>
      </c>
      <c r="N18" s="4">
        <v>1433.32</v>
      </c>
      <c r="O18" s="5">
        <v>67.83</v>
      </c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4">
        <v>18699.95</v>
      </c>
      <c r="E19" s="4">
        <v>24933.3</v>
      </c>
      <c r="F19" s="4">
        <v>4509.1899999999996</v>
      </c>
      <c r="G19" s="5">
        <v>32</v>
      </c>
      <c r="H19" s="1"/>
      <c r="I19" s="1"/>
      <c r="J19" s="1"/>
      <c r="K19" s="1"/>
      <c r="L19" s="1"/>
      <c r="M19" s="4">
        <v>1433.33</v>
      </c>
      <c r="N19" s="4">
        <v>1638.07</v>
      </c>
      <c r="O19" s="5">
        <v>58.38</v>
      </c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4">
        <v>24933.31</v>
      </c>
      <c r="E20" s="4">
        <v>74799.83</v>
      </c>
      <c r="F20" s="4">
        <v>6503.84</v>
      </c>
      <c r="G20" s="5">
        <v>34</v>
      </c>
      <c r="H20" s="1"/>
      <c r="I20" s="1"/>
      <c r="J20" s="1"/>
      <c r="K20" s="1"/>
      <c r="L20" s="1"/>
      <c r="M20" s="4">
        <v>1638.08</v>
      </c>
      <c r="N20" s="4">
        <v>1699.88</v>
      </c>
      <c r="O20" s="5">
        <v>50.12</v>
      </c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4">
        <v>74799.839999999997</v>
      </c>
      <c r="E21" s="5" t="s">
        <v>9</v>
      </c>
      <c r="F21" s="4">
        <v>23458.47</v>
      </c>
      <c r="G21" s="5">
        <v>35</v>
      </c>
      <c r="H21" s="1"/>
      <c r="I21" s="1"/>
      <c r="J21" s="1"/>
      <c r="K21" s="1"/>
      <c r="L21" s="1"/>
      <c r="M21" s="4">
        <v>1699.89</v>
      </c>
      <c r="N21" s="5" t="s">
        <v>16</v>
      </c>
      <c r="O21" s="5">
        <v>0</v>
      </c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</sheetData>
  <mergeCells count="3">
    <mergeCell ref="C2:Q5"/>
    <mergeCell ref="D9:G9"/>
    <mergeCell ref="M9:O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8</vt:i4>
      </vt:variant>
    </vt:vector>
  </HeadingPairs>
  <TitlesOfParts>
    <vt:vector size="17" baseType="lpstr">
      <vt:lpstr>MENU</vt:lpstr>
      <vt:lpstr>EMPRESAS</vt:lpstr>
      <vt:lpstr>RAMAS</vt:lpstr>
      <vt:lpstr>MENSUAL</vt:lpstr>
      <vt:lpstr>ISR MENSUAL</vt:lpstr>
      <vt:lpstr>SIMULADORES</vt:lpstr>
      <vt:lpstr>TABLAS</vt:lpstr>
      <vt:lpstr>ISR QUINCENAL</vt:lpstr>
      <vt:lpstr>ISR SEMANAL</vt:lpstr>
      <vt:lpstr>empresas</vt:lpstr>
      <vt:lpstr>isr_mensual</vt:lpstr>
      <vt:lpstr>isr_quincenal</vt:lpstr>
      <vt:lpstr>isr_semanal</vt:lpstr>
      <vt:lpstr>nombre_empresas</vt:lpstr>
      <vt:lpstr>subsidio_mensual</vt:lpstr>
      <vt:lpstr>subsidio_qunicenal</vt:lpstr>
      <vt:lpstr>subsidio_semanal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2022-05-25T14:07:55Z</dcterms:created>
  <dcterms:modified xsi:type="dcterms:W3CDTF">2022-06-01T21:59:13Z</dcterms:modified>
</cp:coreProperties>
</file>